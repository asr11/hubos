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6a949827b48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תזרים מרכזי" sheetId="1" r:id="Re333235f27d944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-"/>
    <x:numFmt numFmtId="201" formatCode="dd/mm/yyyy"/>
    <x:numFmt numFmtId="202" formatCode="0%"/>
  </x:numFmts>
  <x:fonts count="3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17365D"/>
      <x:name val="Carlito"/>
    </x:font>
    <x:font>
      <x:b/>
      <x:sz val="11"/>
      <x:color rgb="FF1F2937"/>
      <x:name val="Arial"/>
    </x:font>
    <x:font>
      <x:sz val="11"/>
      <x:color rgb="FF1F2937"/>
      <x:name val="Arial"/>
    </x:font>
    <x:font>
      <x:b/>
      <x:sz val="17"/>
      <x:color rgb="FFFFFFFF"/>
      <x:name val="Arial"/>
    </x:font>
    <x:font>
      <x:b/>
      <x:sz val="11"/>
      <x:color rgb="FF17365D"/>
      <x:name val="Arial"/>
    </x:font>
    <x:font>
      <x:b/>
      <x:sz val="12"/>
      <x:color rgb="FF111827"/>
      <x:name val="Arial"/>
    </x:font>
    <x:font>
      <x:sz val="10"/>
      <x:color rgb="FF6B4F00"/>
      <x:name val="Arial"/>
    </x:font>
    <x:font>
      <x:b/>
      <x:sz val="12"/>
      <x:color rgb="FFFFFFFF"/>
      <x:name val="Arial"/>
    </x:font>
    <x:font>
      <x:sz val="11"/>
      <x:color rgb="FF166534"/>
      <x:name val="Arial"/>
    </x:font>
    <x:font>
      <x:sz val="11"/>
      <x:color rgb="FF991B1B"/>
      <x:name val="Arial"/>
    </x:font>
    <x:font>
      <x:b/>
      <x:sz val="11"/>
      <x:color rgb="FF111827"/>
      <x:name val="Arial"/>
    </x:font>
    <x:font>
      <x:b/>
      <x:sz val="11"/>
      <x:color rgb="FF8A5A00"/>
      <x:name val="Arial"/>
    </x:font>
    <x:font>
      <x:b/>
      <x:sz val="11"/>
      <x:color rgb="FFFFFFFF"/>
      <x:name val="Arial"/>
    </x:font>
    <x:font>
      <x:b/>
      <x:sz val="11"/>
      <x:color rgb="FF166534"/>
      <x:name val="Arial"/>
    </x:font>
    <x:font>
      <x:b/>
      <x:sz val="11"/>
      <x:color rgb="FF991B1B"/>
      <x:name val="Arial"/>
    </x:font>
    <x:font>
      <x:sz val="10"/>
      <x:color rgb="FF7F1D1D"/>
      <x:name val="Arial"/>
    </x:font>
    <x:font>
      <x:b/>
      <x:sz val="12"/>
      <x:color rgb="FF1F2937"/>
      <x:name val="Arial"/>
    </x:font>
    <x:font>
      <x:sz val="12"/>
      <x:color rgb="FF1F2937"/>
      <x:name val="Arial"/>
    </x:font>
    <x:font>
      <x:b/>
      <x:sz val="18"/>
      <x:color rgb="FFFFFFFF"/>
      <x:name val="Arial"/>
    </x:font>
    <x:font>
      <x:b/>
      <x:sz val="12"/>
      <x:color rgb="FF17365D"/>
      <x:name val="Arial"/>
    </x:font>
    <x:font>
      <x:b/>
      <x:sz val="13"/>
      <x:color rgb="FF111827"/>
      <x:name val="Arial"/>
    </x:font>
    <x:font>
      <x:sz val="11"/>
      <x:color rgb="FF6B4F00"/>
      <x:name val="Arial"/>
    </x:font>
    <x:font>
      <x:b/>
      <x:sz val="13"/>
      <x:color rgb="FFFFFFFF"/>
      <x:name val="Arial"/>
    </x:font>
    <x:font>
      <x:sz val="12"/>
      <x:color rgb="FF215E21"/>
      <x:name val="Arial"/>
    </x:font>
    <x:font>
      <x:b/>
      <x:sz val="12"/>
      <x:color rgb="FF215E21"/>
      <x:name val="Arial"/>
    </x:font>
    <x:font>
      <x:sz val="12"/>
      <x:color rgb="FF9C0006"/>
      <x:name val="Arial"/>
    </x:font>
    <x:font>
      <x:b/>
      <x:sz val="12"/>
      <x:color rgb="FF9C0006"/>
      <x:name val="Arial"/>
    </x:font>
    <x:font>
      <x:b/>
      <x:sz val="12"/>
      <x:color rgb="FF7F6000"/>
      <x:name val="Arial"/>
    </x:font>
    <x:font>
      <x:sz val="11"/>
      <x:color rgb="FF7F1D1D"/>
      <x:name val="Arial"/>
    </x:font>
    <x:font>
      <x:sz val="10"/>
      <x:color rgb="FF1F2937"/>
      <x:name val="Arial"/>
    </x:font>
  </x:fonts>
  <x:fills count="4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FFFFFF"/>
      </x:patternFill>
    </x:fill>
    <x:fill>
      <x:patternFill patternType="solid">
        <x:fgColor rgb="FFFFF8E7"/>
      </x:patternFill>
    </x:fill>
    <x:fill>
      <x:patternFill patternType="solid">
        <x:fgColor rgb="FFE7F5EA"/>
      </x:patternFill>
    </x:fill>
    <x:fill>
      <x:patternFill patternType="solid">
        <x:fgColor rgb="FFFCE8E8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7F1D1D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FFFFF"/>
      </x:patternFill>
    </x:fill>
    <x:fill>
      <x:patternFill patternType="solid">
        <x:fgColor rgb="FFFFF7E6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7F1D1D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CE6F1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7F6000"/>
      </x:patternFill>
    </x:fill>
    <x:fill>
      <x:patternFill patternType="solid">
        <x:fgColor rgb="FFFFF7E6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9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wrapText="1"/>
    </x:xf>
    <x:xf numFmtId="201" fontId="3" fillId="0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horizontal="center" wrapText="1"/>
    </x:xf>
    <x:xf numFmtId="200" fontId="3" fillId="0" borderId="0" xfId="0" applyNumberFormat="1" applyFont="1" applyFill="1" applyBorder="1" applyAlignment="1">
      <x:alignment horizontal="center" wrapText="1"/>
    </x:xf>
    <x:xf numFmtId="200" fontId="4" fillId="0" borderId="0" xfId="0" applyNumberFormat="1" applyFont="1" applyFill="1" applyBorder="1" applyAlignment="1">
      <x:alignment horizontal="center" wrapText="1"/>
    </x:xf>
    <x:xf numFmtId="200" fontId="3" fillId="0" borderId="1" xfId="0" applyNumberFormat="1" applyFont="1" applyFill="1" applyBorder="1" applyAlignment="1">
      <x:alignment horizontal="center" wrapText="1"/>
    </x:xf>
    <x:xf numFmtId="200" fontId="4" fillId="0" borderId="1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right" wrapText="1"/>
    </x:xf>
    <x:xf numFmtId="0" fontId="3" fillId="0" borderId="1" xfId="0" applyNumberFormat="1" applyFont="1" applyFill="1" applyBorder="1" applyAlignment="1">
      <x:alignment horizontal="right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201" fontId="7" fillId="0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horizontal="right" wrapText="1"/>
    </x:xf>
    <x:xf numFmtId="200" fontId="7" fillId="0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right" vertical="center" wrapText="1"/>
    </x:xf>
    <x:xf numFmtId="200" fontId="7" fillId="0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201" fontId="7" fillId="7" borderId="0" xfId="0" applyNumberFormat="1" applyFont="1" applyFill="1" applyBorder="1" applyAlignment="1">
      <x:alignment vertical="center" wrapText="1"/>
    </x:xf>
    <x:xf numFmtId="200" fontId="7" fillId="7" borderId="0" xfId="0" applyNumberFormat="1" applyFont="1" applyFill="1" applyBorder="1" applyAlignment="1">
      <x:alignment vertical="center" wrapText="1"/>
    </x:xf>
    <x:xf numFmtId="201" fontId="10" fillId="7" borderId="0" xfId="0" applyNumberFormat="1" applyFont="1" applyFill="1" applyBorder="1" applyAlignment="1">
      <x:alignment vertical="center" wrapText="1"/>
    </x:xf>
    <x:xf numFmtId="200" fontId="10" fillId="7" borderId="0" xfId="0" applyNumberFormat="1" applyFont="1" applyFill="1" applyBorder="1" applyAlignment="1">
      <x:alignment vertical="center" wrapText="1"/>
    </x:xf>
    <x:xf numFmtId="201" fontId="10" fillId="7" borderId="0" xfId="0" applyNumberFormat="1" applyFont="1" applyFill="1" applyBorder="1" applyAlignment="1">
      <x:alignment horizontal="center" vertical="center" wrapText="1"/>
    </x:xf>
    <x:xf numFmtId="200" fontId="10" fillId="7" borderId="0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horizontal="center" vertical="center" wrapText="1"/>
    </x:xf>
    <x:xf numFmtId="201" fontId="7" fillId="9" borderId="0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200" fontId="7" fillId="9" borderId="0" xfId="0" applyNumberFormat="1" applyFont="1" applyFill="1" applyBorder="1" applyAlignment="1">
      <x:alignment horizontal="center" vertical="center" wrapText="1"/>
    </x:xf>
    <x:xf numFmtId="201" fontId="13" fillId="9" borderId="0" xfId="0" applyNumberFormat="1" applyFont="1" applyFill="1" applyBorder="1" applyAlignment="1">
      <x:alignment horizontal="center" vertical="center" wrapText="1"/>
    </x:xf>
    <x:xf numFmtId="0" fontId="13" fillId="9" borderId="0" xfId="0" applyNumberFormat="1" applyFont="1" applyFill="1" applyBorder="1" applyAlignment="1">
      <x:alignment horizontal="center" vertical="center" wrapText="1"/>
    </x:xf>
    <x:xf numFmtId="200" fontId="13" fillId="9" borderId="0" xfId="0" applyNumberFormat="1" applyFont="1" applyFill="1" applyBorder="1" applyAlignment="1">
      <x:alignment horizontal="center" vertical="center" wrapText="1"/>
    </x:xf>
    <x:xf numFmtId="201" fontId="7" fillId="10" borderId="0" xfId="0" applyNumberFormat="1" applyFont="1" applyFill="1" applyBorder="1" applyAlignment="1">
      <x:alignment horizontal="center" vertical="center" wrapText="1"/>
    </x:xf>
    <x:xf numFmtId="0" fontId="7" fillId="10" borderId="0" xfId="0" applyNumberFormat="1" applyFont="1" applyFill="1" applyBorder="1" applyAlignment="1">
      <x:alignment horizontal="center" vertical="center" wrapText="1"/>
    </x:xf>
    <x:xf numFmtId="200" fontId="7" fillId="10" borderId="0" xfId="0" applyNumberFormat="1" applyFont="1" applyFill="1" applyBorder="1" applyAlignment="1">
      <x:alignment horizontal="center" vertical="center" wrapText="1"/>
    </x:xf>
    <x:xf numFmtId="201" fontId="14" fillId="10" borderId="0" xfId="0" applyNumberFormat="1" applyFont="1" applyFill="1" applyBorder="1" applyAlignment="1">
      <x:alignment horizontal="center" vertical="center" wrapText="1"/>
    </x:xf>
    <x:xf numFmtId="0" fontId="14" fillId="10" borderId="0" xfId="0" applyNumberFormat="1" applyFont="1" applyFill="1" applyBorder="1" applyAlignment="1">
      <x:alignment horizontal="center" vertical="center" wrapText="1"/>
    </x:xf>
    <x:xf numFmtId="200" fontId="14" fillId="10" borderId="0" xfId="0" applyNumberFormat="1" applyFont="1" applyFill="1" applyBorder="1" applyAlignment="1">
      <x:alignment horizontal="center" vertical="center" wrapText="1"/>
    </x:xf>
    <x:xf numFmtId="200" fontId="15" fillId="9" borderId="0" xfId="0" applyNumberFormat="1" applyFont="1" applyFill="1" applyBorder="1" applyAlignment="1">
      <x:alignment horizontal="center" vertical="center" wrapText="1"/>
    </x:xf>
    <x:xf numFmtId="200" fontId="15" fillId="10" borderId="0" xfId="0" applyNumberFormat="1" applyFont="1" applyFill="1" applyBorder="1" applyAlignment="1">
      <x:alignment horizontal="center" vertical="center" wrapText="1"/>
    </x:xf>
    <x:xf numFmtId="200" fontId="15" fillId="11" borderId="0" xfId="0" applyNumberFormat="1" applyFont="1" applyFill="1" applyBorder="1" applyAlignment="1">
      <x:alignment horizontal="center" vertical="center" wrapText="1"/>
    </x:xf>
    <x:xf numFmtId="0" fontId="14" fillId="11" borderId="0" xfId="0" applyNumberFormat="1" applyFont="1" applyFill="1" applyBorder="1" applyAlignment="1">
      <x:alignment horizontal="center" vertical="center" wrapText="1"/>
    </x:xf>
    <x:xf numFmtId="200" fontId="16" fillId="11" borderId="0" xfId="0" applyNumberFormat="1" applyFont="1" applyFill="1" applyBorder="1" applyAlignment="1">
      <x:alignment horizontal="center" vertical="center" wrapText="1"/>
    </x:xf>
    <x:xf numFmtId="0" fontId="16" fillId="11" borderId="0" xfId="0" applyNumberFormat="1" applyFont="1" applyFill="1" applyBorder="1" applyAlignment="1">
      <x:alignment horizontal="center" vertical="center" wrapText="1"/>
    </x:xf>
    <x:xf numFmtId="0" fontId="17" fillId="5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200" fontId="18" fillId="9" borderId="0" xfId="0" applyNumberFormat="1" applyFont="1" applyFill="1" applyBorder="1" applyAlignment="1">
      <x:alignment horizontal="center" vertical="center" wrapText="1"/>
    </x:xf>
    <x:xf numFmtId="200" fontId="19" fillId="10" borderId="0" xfId="0" applyNumberFormat="1" applyFont="1" applyFill="1" applyBorder="1" applyAlignment="1">
      <x:alignment horizontal="center" vertical="center" wrapText="1"/>
    </x:xf>
    <x:xf numFmtId="200" fontId="7" fillId="12" borderId="0" xfId="0" applyNumberFormat="1" applyFont="1" applyFill="1" applyBorder="1" applyAlignment="1">
      <x:alignment horizontal="center" vertical="center" wrapText="1"/>
    </x:xf>
    <x:xf numFmtId="200" fontId="15" fillId="12" borderId="0" xfId="0" applyNumberFormat="1" applyFont="1" applyFill="1" applyBorder="1" applyAlignment="1">
      <x:alignment horizontal="center" vertical="center" wrapText="1"/>
    </x:xf>
    <x:xf numFmtId="0" fontId="6" fillId="13" borderId="0" xfId="0" applyNumberFormat="1" applyFont="1" applyFill="1" applyBorder="1" applyAlignment="1">
      <x:alignment horizontal="center" vertical="center"/>
    </x:xf>
    <x:xf numFmtId="0" fontId="17" fillId="13" borderId="0" xfId="0" applyNumberFormat="1" applyFont="1" applyFill="1" applyBorder="1" applyAlignment="1">
      <x:alignment horizontal="center" vertical="center"/>
    </x:xf>
    <x:xf numFmtId="0" fontId="20" fillId="0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vertical="center"/>
    </x:xf>
    <x:xf numFmtId="0" fontId="20" fillId="0" borderId="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12" fillId="2" borderId="0" xfId="0" applyNumberFormat="1" applyFont="1" applyFill="1" applyBorder="1" applyAlignment="1">
      <x:alignment horizontal="center" vertical="center" wrapText="1"/>
    </x:xf>
    <x:xf numFmtId="0" fontId="17" fillId="2" borderId="0" xfId="0" applyNumberFormat="1" applyFont="1" applyFill="1" applyBorder="1" applyAlignment="1">
      <x:alignment horizontal="center" vertical="center" wrapText="1"/>
    </x:xf>
    <x:xf numFmtId="0" fontId="21" fillId="2" borderId="0" xfId="0" applyNumberFormat="1" applyFont="1" applyFill="1" applyBorder="1" applyAlignment="1">
      <x:alignment horizontal="center" vertical="center"/>
    </x:xf>
    <x:xf numFmtId="0" fontId="22" fillId="0" borderId="0" xfId="0" applyNumberFormat="1" applyFont="1" applyFill="1" applyBorder="1" applyAlignment="1">
      <x:alignment vertical="center"/>
    </x:xf>
    <x:xf numFmtId="0" fontId="21" fillId="2" borderId="0" xfId="0" applyNumberFormat="1" applyFont="1" applyFill="1" applyBorder="1" applyAlignment="1">
      <x:alignment horizontal="center" vertical="center" wrapText="1"/>
    </x:xf>
    <x:xf numFmtId="0" fontId="21" fillId="6" borderId="0" xfId="0" applyNumberFormat="1" applyFont="1" applyFill="1" applyBorder="1" applyAlignment="1">
      <x:alignment horizontal="center" vertical="center" wrapText="1"/>
    </x:xf>
    <x:xf numFmtId="201" fontId="21" fillId="7" borderId="0" xfId="0" applyNumberFormat="1" applyFont="1" applyFill="1" applyBorder="1" applyAlignment="1">
      <x:alignment horizontal="center" vertical="center" wrapText="1"/>
    </x:xf>
    <x:xf numFmtId="0" fontId="22" fillId="0" borderId="0" xfId="0" applyNumberFormat="1" applyFont="1" applyFill="1" applyBorder="1" applyAlignment="1">
      <x:alignment vertical="center" wrapText="1"/>
    </x:xf>
    <x:xf numFmtId="200" fontId="21" fillId="7" borderId="0" xfId="0" applyNumberFormat="1" applyFont="1" applyFill="1" applyBorder="1" applyAlignment="1">
      <x:alignment horizontal="center" vertical="center" wrapText="1"/>
    </x:xf>
    <x:xf numFmtId="0" fontId="22" fillId="8" borderId="0" xfId="0" applyNumberFormat="1" applyFont="1" applyFill="1" applyBorder="1" applyAlignment="1">
      <x:alignment horizontal="center" vertical="center" wrapText="1"/>
    </x:xf>
    <x:xf numFmtId="200" fontId="22" fillId="0" borderId="0" xfId="0" applyNumberFormat="1" applyFont="1" applyFill="1" applyBorder="1" applyAlignment="1">
      <x:alignment horizontal="center" vertical="center" wrapText="1"/>
    </x:xf>
    <x:xf numFmtId="200" fontId="21" fillId="9" borderId="0" xfId="0" applyNumberFormat="1" applyFont="1" applyFill="1" applyBorder="1" applyAlignment="1">
      <x:alignment horizontal="center" vertical="center" wrapText="1"/>
    </x:xf>
    <x:xf numFmtId="200" fontId="21" fillId="10" borderId="0" xfId="0" applyNumberFormat="1" applyFont="1" applyFill="1" applyBorder="1" applyAlignment="1">
      <x:alignment horizontal="center" vertical="center" wrapText="1"/>
    </x:xf>
    <x:xf numFmtId="200" fontId="21" fillId="12" borderId="0" xfId="0" applyNumberFormat="1" applyFont="1" applyFill="1" applyBorder="1" applyAlignment="1">
      <x:alignment horizontal="center" vertical="center" wrapText="1"/>
    </x:xf>
    <x:xf numFmtId="0" fontId="21" fillId="7" borderId="0" xfId="0" applyNumberFormat="1" applyFont="1" applyFill="1" applyBorder="1" applyAlignment="1">
      <x:alignment horizontal="center" vertical="center" wrapText="1"/>
    </x:xf>
    <x:xf numFmtId="0" fontId="21" fillId="13" borderId="0" xfId="0" applyNumberFormat="1" applyFont="1" applyFill="1" applyBorder="1" applyAlignment="1">
      <x:alignment horizontal="center" vertical="center"/>
    </x:xf>
    <x:xf numFmtId="201" fontId="22" fillId="9" borderId="0" xfId="0" applyNumberFormat="1" applyFont="1" applyFill="1" applyBorder="1" applyAlignment="1">
      <x:alignment horizontal="center" vertical="center" wrapText="1"/>
    </x:xf>
    <x:xf numFmtId="0" fontId="22" fillId="9" borderId="0" xfId="0" applyNumberFormat="1" applyFont="1" applyFill="1" applyBorder="1" applyAlignment="1">
      <x:alignment horizontal="center" vertical="center" wrapText="1"/>
    </x:xf>
    <x:xf numFmtId="200" fontId="22" fillId="9" borderId="0" xfId="0" applyNumberFormat="1" applyFont="1" applyFill="1" applyBorder="1" applyAlignment="1">
      <x:alignment horizontal="center" vertical="center" wrapText="1"/>
    </x:xf>
    <x:xf numFmtId="0" fontId="22" fillId="0" borderId="0" xfId="0" applyNumberFormat="1" applyFont="1" applyFill="1" applyBorder="1" applyAlignment="1">
      <x:alignment horizontal="center" vertical="center" wrapText="1"/>
    </x:xf>
    <x:xf numFmtId="201" fontId="22" fillId="10" borderId="0" xfId="0" applyNumberFormat="1" applyFont="1" applyFill="1" applyBorder="1" applyAlignment="1">
      <x:alignment horizontal="center" vertical="center" wrapText="1"/>
    </x:xf>
    <x:xf numFmtId="0" fontId="22" fillId="10" borderId="0" xfId="0" applyNumberFormat="1" applyFont="1" applyFill="1" applyBorder="1" applyAlignment="1">
      <x:alignment horizontal="center" vertical="center" wrapText="1"/>
    </x:xf>
    <x:xf numFmtId="200" fontId="22" fillId="10" borderId="0" xfId="0" applyNumberFormat="1" applyFont="1" applyFill="1" applyBorder="1" applyAlignment="1">
      <x:alignment horizontal="center" vertical="center" wrapText="1"/>
    </x:xf>
    <x:xf numFmtId="200" fontId="21" fillId="11" borderId="0" xfId="0" applyNumberFormat="1" applyFont="1" applyFill="1" applyBorder="1" applyAlignment="1">
      <x:alignment horizontal="center" vertical="center" wrapText="1"/>
    </x:xf>
    <x:xf numFmtId="0" fontId="21" fillId="11" borderId="0" xfId="0" applyNumberFormat="1" applyFont="1" applyFill="1" applyBorder="1" applyAlignment="1">
      <x:alignment horizontal="center" vertical="center" wrapText="1"/>
    </x:xf>
    <x:xf numFmtId="0" fontId="21" fillId="14" borderId="0" xfId="0" applyNumberFormat="1" applyFont="1" applyFill="1" applyBorder="1" applyAlignment="1">
      <x:alignment horizontal="center" vertical="center"/>
    </x:xf>
    <x:xf numFmtId="0" fontId="23" fillId="14" borderId="0" xfId="0" applyNumberFormat="1" applyFont="1" applyFill="1" applyBorder="1" applyAlignment="1">
      <x:alignment horizontal="center" vertical="center"/>
    </x:xf>
    <x:xf numFmtId="0" fontId="21" fillId="15" borderId="0" xfId="0" applyNumberFormat="1" applyFont="1" applyFill="1" applyBorder="1" applyAlignment="1">
      <x:alignment horizontal="center" vertical="center" wrapText="1"/>
    </x:xf>
    <x:xf numFmtId="0" fontId="24" fillId="15" borderId="0" xfId="0" applyNumberFormat="1" applyFont="1" applyFill="1" applyBorder="1" applyAlignment="1">
      <x:alignment horizontal="center" vertical="center" wrapText="1"/>
    </x:xf>
    <x:xf numFmtId="201" fontId="21" fillId="16" borderId="0" xfId="0" applyNumberFormat="1" applyFont="1" applyFill="1" applyBorder="1" applyAlignment="1">
      <x:alignment horizontal="center" vertical="center" wrapText="1"/>
    </x:xf>
    <x:xf numFmtId="200" fontId="21" fillId="16" borderId="0" xfId="0" applyNumberFormat="1" applyFont="1" applyFill="1" applyBorder="1" applyAlignment="1">
      <x:alignment horizontal="center" vertical="center" wrapText="1"/>
    </x:xf>
    <x:xf numFmtId="201" fontId="25" fillId="16" borderId="0" xfId="0" applyNumberFormat="1" applyFont="1" applyFill="1" applyBorder="1" applyAlignment="1">
      <x:alignment horizontal="center" vertical="center" wrapText="1"/>
    </x:xf>
    <x:xf numFmtId="200" fontId="25" fillId="16" borderId="0" xfId="0" applyNumberFormat="1" applyFont="1" applyFill="1" applyBorder="1" applyAlignment="1">
      <x:alignment horizontal="center" vertical="center" wrapText="1"/>
    </x:xf>
    <x:xf numFmtId="0" fontId="21" fillId="16" borderId="0" xfId="0" applyNumberFormat="1" applyFont="1" applyFill="1" applyBorder="1" applyAlignment="1">
      <x:alignment horizontal="center" vertical="center" wrapText="1"/>
    </x:xf>
    <x:xf numFmtId="0" fontId="25" fillId="16" borderId="0" xfId="0" applyNumberFormat="1" applyFont="1" applyFill="1" applyBorder="1" applyAlignment="1">
      <x:alignment horizontal="center" vertical="center" wrapText="1"/>
    </x:xf>
    <x:xf numFmtId="0" fontId="22" fillId="17" borderId="0" xfId="0" applyNumberFormat="1" applyFont="1" applyFill="1" applyBorder="1" applyAlignment="1">
      <x:alignment horizontal="center" vertical="center" wrapText="1"/>
    </x:xf>
    <x:xf numFmtId="0" fontId="26" fillId="17" borderId="0" xfId="0" applyNumberFormat="1" applyFont="1" applyFill="1" applyBorder="1" applyAlignment="1">
      <x:alignment horizontal="center" vertical="center" wrapText="1"/>
    </x:xf>
    <x:xf numFmtId="0" fontId="21" fillId="14" borderId="0" xfId="0" applyNumberFormat="1" applyFont="1" applyFill="1" applyBorder="1" applyAlignment="1">
      <x:alignment horizontal="center" vertical="center" wrapText="1"/>
    </x:xf>
    <x:xf numFmtId="0" fontId="27" fillId="14" borderId="0" xfId="0" applyNumberFormat="1" applyFont="1" applyFill="1" applyBorder="1" applyAlignment="1">
      <x:alignment horizontal="center" vertical="center" wrapText="1"/>
    </x:xf>
    <x:xf numFmtId="201" fontId="22" fillId="18" borderId="0" xfId="0" applyNumberFormat="1" applyFont="1" applyFill="1" applyBorder="1" applyAlignment="1">
      <x:alignment horizontal="center" vertical="center" wrapText="1"/>
    </x:xf>
    <x:xf numFmtId="0" fontId="22" fillId="18" borderId="0" xfId="0" applyNumberFormat="1" applyFont="1" applyFill="1" applyBorder="1" applyAlignment="1">
      <x:alignment horizontal="center" vertical="center" wrapText="1"/>
    </x:xf>
    <x:xf numFmtId="200" fontId="22" fillId="18" borderId="0" xfId="0" applyNumberFormat="1" applyFont="1" applyFill="1" applyBorder="1" applyAlignment="1">
      <x:alignment horizontal="center" vertical="center" wrapText="1"/>
    </x:xf>
    <x:xf numFmtId="200" fontId="21" fillId="18" borderId="0" xfId="0" applyNumberFormat="1" applyFont="1" applyFill="1" applyBorder="1" applyAlignment="1">
      <x:alignment horizontal="center" vertical="center" wrapText="1"/>
    </x:xf>
    <x:xf numFmtId="201" fontId="28" fillId="18" borderId="0" xfId="0" applyNumberFormat="1" applyFont="1" applyFill="1" applyBorder="1" applyAlignment="1">
      <x:alignment horizontal="center" vertical="center" wrapText="1"/>
    </x:xf>
    <x:xf numFmtId="0" fontId="28" fillId="18" borderId="0" xfId="0" applyNumberFormat="1" applyFont="1" applyFill="1" applyBorder="1" applyAlignment="1">
      <x:alignment horizontal="center" vertical="center" wrapText="1"/>
    </x:xf>
    <x:xf numFmtId="200" fontId="28" fillId="18" borderId="0" xfId="0" applyNumberFormat="1" applyFont="1" applyFill="1" applyBorder="1" applyAlignment="1">
      <x:alignment horizontal="center" vertical="center" wrapText="1"/>
    </x:xf>
    <x:xf numFmtId="200" fontId="29" fillId="18" borderId="0" xfId="0" applyNumberFormat="1" applyFont="1" applyFill="1" applyBorder="1" applyAlignment="1">
      <x:alignment horizontal="center" vertical="center" wrapText="1"/>
    </x:xf>
    <x:xf numFmtId="201" fontId="22" fillId="19" borderId="0" xfId="0" applyNumberFormat="1" applyFont="1" applyFill="1" applyBorder="1" applyAlignment="1">
      <x:alignment horizontal="center" vertical="center" wrapText="1"/>
    </x:xf>
    <x:xf numFmtId="0" fontId="22" fillId="19" borderId="0" xfId="0" applyNumberFormat="1" applyFont="1" applyFill="1" applyBorder="1" applyAlignment="1">
      <x:alignment horizontal="center" vertical="center" wrapText="1"/>
    </x:xf>
    <x:xf numFmtId="200" fontId="22" fillId="19" borderId="0" xfId="0" applyNumberFormat="1" applyFont="1" applyFill="1" applyBorder="1" applyAlignment="1">
      <x:alignment horizontal="center" vertical="center" wrapText="1"/>
    </x:xf>
    <x:xf numFmtId="200" fontId="21" fillId="19" borderId="0" xfId="0" applyNumberFormat="1" applyFont="1" applyFill="1" applyBorder="1" applyAlignment="1">
      <x:alignment horizontal="center" vertical="center" wrapText="1"/>
    </x:xf>
    <x:xf numFmtId="0" fontId="21" fillId="19" borderId="0" xfId="0" applyNumberFormat="1" applyFont="1" applyFill="1" applyBorder="1" applyAlignment="1">
      <x:alignment horizontal="center" vertical="center" wrapText="1"/>
    </x:xf>
    <x:xf numFmtId="201" fontId="30" fillId="19" borderId="0" xfId="0" applyNumberFormat="1" applyFont="1" applyFill="1" applyBorder="1" applyAlignment="1">
      <x:alignment horizontal="center" vertical="center" wrapText="1"/>
    </x:xf>
    <x:xf numFmtId="0" fontId="30" fillId="19" borderId="0" xfId="0" applyNumberFormat="1" applyFont="1" applyFill="1" applyBorder="1" applyAlignment="1">
      <x:alignment horizontal="center" vertical="center" wrapText="1"/>
    </x:xf>
    <x:xf numFmtId="200" fontId="30" fillId="19" borderId="0" xfId="0" applyNumberFormat="1" applyFont="1" applyFill="1" applyBorder="1" applyAlignment="1">
      <x:alignment horizontal="center" vertical="center" wrapText="1"/>
    </x:xf>
    <x:xf numFmtId="200" fontId="31" fillId="19" borderId="0" xfId="0" applyNumberFormat="1" applyFont="1" applyFill="1" applyBorder="1" applyAlignment="1">
      <x:alignment horizontal="center" vertical="center" wrapText="1"/>
    </x:xf>
    <x:xf numFmtId="0" fontId="31" fillId="19" borderId="0" xfId="0" applyNumberFormat="1" applyFont="1" applyFill="1" applyBorder="1" applyAlignment="1">
      <x:alignment horizontal="center" vertical="center" wrapText="1"/>
    </x:xf>
    <x:xf numFmtId="200" fontId="31" fillId="20" borderId="0" xfId="0" applyNumberFormat="1" applyFont="1" applyFill="1" applyBorder="1" applyAlignment="1">
      <x:alignment horizontal="center" vertical="center" wrapText="1"/>
    </x:xf>
    <x:xf numFmtId="0" fontId="31" fillId="20" borderId="0" xfId="0" applyNumberFormat="1" applyFont="1" applyFill="1" applyBorder="1" applyAlignment="1">
      <x:alignment horizontal="center" vertical="center" wrapText="1"/>
    </x:xf>
    <x:xf numFmtId="200" fontId="32" fillId="20" borderId="0" xfId="0" applyNumberFormat="1" applyFont="1" applyFill="1" applyBorder="1" applyAlignment="1">
      <x:alignment horizontal="center" vertical="center" wrapText="1"/>
    </x:xf>
    <x:xf numFmtId="0" fontId="32" fillId="20" borderId="0" xfId="0" applyNumberFormat="1" applyFont="1" applyFill="1" applyBorder="1" applyAlignment="1">
      <x:alignment horizontal="center" vertical="center" wrapText="1"/>
    </x:xf>
    <x:xf numFmtId="200" fontId="10" fillId="18" borderId="0" xfId="0" applyNumberFormat="1" applyFont="1" applyFill="1" applyBorder="1" applyAlignment="1">
      <x:alignment horizontal="center" vertical="center" wrapText="1"/>
    </x:xf>
    <x:xf numFmtId="200" fontId="10" fillId="20" borderId="0" xfId="0" applyNumberFormat="1" applyFont="1" applyFill="1" applyBorder="1" applyAlignment="1">
      <x:alignment horizontal="center" vertical="center" wrapText="1"/>
    </x:xf>
    <x:xf numFmtId="200" fontId="10" fillId="19" borderId="0" xfId="0" applyNumberFormat="1" applyFont="1" applyFill="1" applyBorder="1" applyAlignment="1">
      <x:alignment horizontal="center" vertical="center" wrapText="1"/>
    </x:xf>
    <x:xf numFmtId="0" fontId="12" fillId="14" borderId="0" xfId="0" applyNumberFormat="1" applyFont="1" applyFill="1" applyBorder="1" applyAlignment="1">
      <x:alignment horizontal="center" vertical="center" wrapText="1"/>
    </x:xf>
    <x:xf numFmtId="200" fontId="21" fillId="21" borderId="0" xfId="0" applyNumberFormat="1" applyFont="1" applyFill="1" applyBorder="1" applyAlignment="1">
      <x:alignment horizontal="center" vertical="center" wrapText="1"/>
    </x:xf>
    <x:xf numFmtId="200" fontId="10" fillId="21" borderId="0" xfId="0" applyNumberFormat="1" applyFont="1" applyFill="1" applyBorder="1" applyAlignment="1">
      <x:alignment horizontal="center" vertical="center" wrapText="1"/>
    </x:xf>
    <x:xf numFmtId="0" fontId="21" fillId="22" borderId="0" xfId="0" applyNumberFormat="1" applyFont="1" applyFill="1" applyBorder="1" applyAlignment="1">
      <x:alignment horizontal="center" vertical="center"/>
    </x:xf>
    <x:xf numFmtId="0" fontId="12" fillId="22" borderId="0" xfId="0" applyNumberFormat="1" applyFont="1" applyFill="1" applyBorder="1" applyAlignment="1">
      <x:alignment horizontal="center" vertical="center"/>
    </x:xf>
    <x:xf numFmtId="0" fontId="33" fillId="0" borderId="0" xfId="0" applyNumberFormat="1" applyFont="1" applyFill="1" applyBorder="1" applyAlignment="1">
      <x:alignment horizontal="center" vertical="center" wrapText="1"/>
    </x:xf>
    <x:xf numFmtId="0" fontId="23" fillId="2" borderId="0" xfId="0" applyNumberFormat="1" applyFont="1" applyFill="1" applyBorder="1" applyAlignment="1">
      <x:alignment horizontal="center" vertical="center"/>
    </x:xf>
    <x:xf numFmtId="201" fontId="25" fillId="7" borderId="0" xfId="0" applyNumberFormat="1" applyFont="1" applyFill="1" applyBorder="1" applyAlignment="1">
      <x:alignment horizontal="center" vertical="center" wrapText="1"/>
    </x:xf>
    <x:xf numFmtId="200" fontId="25" fillId="7" borderId="0" xfId="0" applyNumberFormat="1" applyFont="1" applyFill="1" applyBorder="1" applyAlignment="1">
      <x:alignment horizontal="center" vertical="center" wrapText="1"/>
    </x:xf>
    <x:xf numFmtId="0" fontId="25" fillId="7" borderId="0" xfId="0" applyNumberFormat="1" applyFont="1" applyFill="1" applyBorder="1" applyAlignment="1">
      <x:alignment horizontal="center" vertical="center" wrapText="1"/>
    </x:xf>
    <x:xf numFmtId="0" fontId="27" fillId="2" borderId="0" xfId="0" applyNumberFormat="1" applyFont="1" applyFill="1" applyBorder="1" applyAlignment="1">
      <x:alignment horizontal="center" vertical="center" wrapText="1"/>
    </x:xf>
    <x:xf numFmtId="200" fontId="31" fillId="11" borderId="0" xfId="0" applyNumberFormat="1" applyFont="1" applyFill="1" applyBorder="1" applyAlignment="1">
      <x:alignment horizontal="center" vertical="center" wrapText="1"/>
    </x:xf>
    <x:xf numFmtId="0" fontId="31" fillId="11" borderId="0" xfId="0" applyNumberFormat="1" applyFont="1" applyFill="1" applyBorder="1" applyAlignment="1">
      <x:alignment horizontal="center" vertical="center" wrapText="1"/>
    </x:xf>
    <x:xf numFmtId="200" fontId="32" fillId="11" borderId="0" xfId="0" applyNumberFormat="1" applyFont="1" applyFill="1" applyBorder="1" applyAlignment="1">
      <x:alignment horizontal="center" vertical="center" wrapText="1"/>
    </x:xf>
    <x:xf numFmtId="0" fontId="32" fillId="11" borderId="0" xfId="0" applyNumberFormat="1" applyFont="1" applyFill="1" applyBorder="1" applyAlignment="1">
      <x:alignment horizontal="center" vertical="center" wrapText="1"/>
    </x:xf>
    <x:xf numFmtId="200" fontId="10" fillId="11" borderId="0" xfId="0" applyNumberFormat="1" applyFont="1" applyFill="1" applyBorder="1" applyAlignment="1">
      <x:alignment horizontal="center" vertical="center" wrapText="1"/>
    </x:xf>
    <x:xf numFmtId="0" fontId="12" fillId="13" borderId="0" xfId="0" applyNumberFormat="1" applyFont="1" applyFill="1" applyBorder="1" applyAlignment="1">
      <x:alignment horizontal="center" vertical="center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wrapText="1"/>
    </x:xf>
    <x:xf numFmtId="0" fontId="22" fillId="0" borderId="0" xfId="0" applyNumberFormat="1" applyFont="1" applyFill="1" applyBorder="1" applyAlignment="1">
      <x:alignment horizontal="center" wrapText="1"/>
    </x:xf>
    <x:xf numFmtId="201" fontId="22" fillId="23" borderId="0" xfId="0" applyNumberFormat="1" applyFont="1" applyFill="1" applyBorder="1" applyAlignment="1">
      <x:alignment horizontal="center" vertical="center" wrapText="1"/>
    </x:xf>
    <x:xf numFmtId="0" fontId="22" fillId="23" borderId="0" xfId="0" applyNumberFormat="1" applyFont="1" applyFill="1" applyBorder="1" applyAlignment="1">
      <x:alignment horizontal="center" vertical="center" wrapText="1"/>
    </x:xf>
    <x:xf numFmtId="200" fontId="22" fillId="23" borderId="0" xfId="0" applyNumberFormat="1" applyFont="1" applyFill="1" applyBorder="1" applyAlignment="1">
      <x:alignment horizontal="center" vertical="center" wrapText="1"/>
    </x:xf>
    <x:xf numFmtId="200" fontId="21" fillId="23" borderId="0" xfId="0" applyNumberFormat="1" applyFont="1" applyFill="1" applyBorder="1" applyAlignment="1">
      <x:alignment horizontal="center" vertical="center" wrapText="1"/>
    </x:xf>
    <x:xf numFmtId="201" fontId="28" fillId="23" borderId="0" xfId="0" applyNumberFormat="1" applyFont="1" applyFill="1" applyBorder="1" applyAlignment="1">
      <x:alignment horizontal="center" vertical="center" wrapText="1"/>
    </x:xf>
    <x:xf numFmtId="0" fontId="28" fillId="23" borderId="0" xfId="0" applyNumberFormat="1" applyFont="1" applyFill="1" applyBorder="1" applyAlignment="1">
      <x:alignment horizontal="center" vertical="center" wrapText="1"/>
    </x:xf>
    <x:xf numFmtId="200" fontId="28" fillId="23" borderId="0" xfId="0" applyNumberFormat="1" applyFont="1" applyFill="1" applyBorder="1" applyAlignment="1">
      <x:alignment horizontal="center" vertical="center" wrapText="1"/>
    </x:xf>
    <x:xf numFmtId="200" fontId="29" fillId="23" borderId="0" xfId="0" applyNumberFormat="1" applyFont="1" applyFill="1" applyBorder="1" applyAlignment="1">
      <x:alignment horizontal="center" vertical="center" wrapText="1"/>
    </x:xf>
    <x:xf numFmtId="201" fontId="22" fillId="24" borderId="0" xfId="0" applyNumberFormat="1" applyFont="1" applyFill="1" applyBorder="1" applyAlignment="1">
      <x:alignment horizontal="center" vertical="center" wrapText="1"/>
    </x:xf>
    <x:xf numFmtId="0" fontId="22" fillId="24" borderId="0" xfId="0" applyNumberFormat="1" applyFont="1" applyFill="1" applyBorder="1" applyAlignment="1">
      <x:alignment horizontal="center" vertical="center" wrapText="1"/>
    </x:xf>
    <x:xf numFmtId="200" fontId="22" fillId="24" borderId="0" xfId="0" applyNumberFormat="1" applyFont="1" applyFill="1" applyBorder="1" applyAlignment="1">
      <x:alignment horizontal="center" vertical="center" wrapText="1"/>
    </x:xf>
    <x:xf numFmtId="200" fontId="21" fillId="24" borderId="0" xfId="0" applyNumberFormat="1" applyFont="1" applyFill="1" applyBorder="1" applyAlignment="1">
      <x:alignment horizontal="center" vertical="center" wrapText="1"/>
    </x:xf>
    <x:xf numFmtId="0" fontId="21" fillId="24" borderId="0" xfId="0" applyNumberFormat="1" applyFont="1" applyFill="1" applyBorder="1" applyAlignment="1">
      <x:alignment horizontal="center" vertical="center" wrapText="1"/>
    </x:xf>
    <x:xf numFmtId="201" fontId="30" fillId="24" borderId="0" xfId="0" applyNumberFormat="1" applyFont="1" applyFill="1" applyBorder="1" applyAlignment="1">
      <x:alignment horizontal="center" vertical="center" wrapText="1"/>
    </x:xf>
    <x:xf numFmtId="0" fontId="30" fillId="24" borderId="0" xfId="0" applyNumberFormat="1" applyFont="1" applyFill="1" applyBorder="1" applyAlignment="1">
      <x:alignment horizontal="center" vertical="center" wrapText="1"/>
    </x:xf>
    <x:xf numFmtId="200" fontId="30" fillId="24" borderId="0" xfId="0" applyNumberFormat="1" applyFont="1" applyFill="1" applyBorder="1" applyAlignment="1">
      <x:alignment horizontal="center" vertical="center" wrapText="1"/>
    </x:xf>
    <x:xf numFmtId="200" fontId="31" fillId="24" borderId="0" xfId="0" applyNumberFormat="1" applyFont="1" applyFill="1" applyBorder="1" applyAlignment="1">
      <x:alignment horizontal="center" vertical="center" wrapText="1"/>
    </x:xf>
    <x:xf numFmtId="0" fontId="31" fillId="24" borderId="0" xfId="0" applyNumberFormat="1" applyFont="1" applyFill="1" applyBorder="1" applyAlignment="1">
      <x:alignment horizontal="center" vertical="center" wrapText="1"/>
    </x:xf>
    <x:xf numFmtId="200" fontId="31" fillId="25" borderId="0" xfId="0" applyNumberFormat="1" applyFont="1" applyFill="1" applyBorder="1" applyAlignment="1">
      <x:alignment horizontal="center" vertical="center" wrapText="1"/>
    </x:xf>
    <x:xf numFmtId="0" fontId="31" fillId="25" borderId="0" xfId="0" applyNumberFormat="1" applyFont="1" applyFill="1" applyBorder="1" applyAlignment="1">
      <x:alignment horizontal="center" vertical="center" wrapText="1"/>
    </x:xf>
    <x:xf numFmtId="200" fontId="32" fillId="25" borderId="0" xfId="0" applyNumberFormat="1" applyFont="1" applyFill="1" applyBorder="1" applyAlignment="1">
      <x:alignment horizontal="center" vertical="center" wrapText="1"/>
    </x:xf>
    <x:xf numFmtId="0" fontId="32" fillId="25" borderId="0" xfId="0" applyNumberFormat="1" applyFont="1" applyFill="1" applyBorder="1" applyAlignment="1">
      <x:alignment horizontal="center" vertical="center" wrapText="1"/>
    </x:xf>
    <x:xf numFmtId="0" fontId="21" fillId="23" borderId="0" xfId="0" applyNumberFormat="1" applyFont="1" applyFill="1" applyBorder="1" applyAlignment="1">
      <x:alignment horizontal="center" vertical="center" wrapText="1"/>
    </x:xf>
    <x:xf numFmtId="0" fontId="29" fillId="23" borderId="0" xfId="0" applyNumberFormat="1" applyFont="1" applyFill="1" applyBorder="1" applyAlignment="1">
      <x:alignment horizontal="center" vertical="center" wrapText="1"/>
    </x:xf>
    <x:xf numFmtId="0" fontId="30" fillId="25" borderId="0" xfId="0" applyNumberFormat="1" applyFont="1" applyFill="1" applyBorder="1" applyAlignment="1">
      <x:alignment horizontal="center" vertical="center" wrapText="1"/>
    </x:xf>
    <x:xf numFmtId="200" fontId="10" fillId="23" borderId="0" xfId="0" applyNumberFormat="1" applyFont="1" applyFill="1" applyBorder="1" applyAlignment="1">
      <x:alignment horizontal="center" vertical="center" wrapText="1"/>
    </x:xf>
    <x:xf numFmtId="200" fontId="10" fillId="25" borderId="0" xfId="0" applyNumberFormat="1" applyFont="1" applyFill="1" applyBorder="1" applyAlignment="1">
      <x:alignment horizontal="center" vertical="center" wrapText="1"/>
    </x:xf>
    <x:xf numFmtId="200" fontId="10" fillId="24" borderId="0" xfId="0" applyNumberFormat="1" applyFont="1" applyFill="1" applyBorder="1" applyAlignment="1">
      <x:alignment horizontal="center" vertical="center" wrapText="1"/>
    </x:xf>
    <x:xf numFmtId="0" fontId="10" fillId="23" borderId="0" xfId="0" applyNumberFormat="1" applyFont="1" applyFill="1" applyBorder="1" applyAlignment="1">
      <x:alignment horizontal="center" vertical="center" wrapText="1"/>
    </x:xf>
    <x:xf numFmtId="0" fontId="21" fillId="18" borderId="0" xfId="0" applyNumberFormat="1" applyFont="1" applyFill="1" applyBorder="1" applyAlignment="1">
      <x:alignment horizontal="center" vertical="center" wrapText="1"/>
    </x:xf>
    <x:xf numFmtId="0" fontId="29" fillId="18" borderId="0" xfId="0" applyNumberFormat="1" applyFont="1" applyFill="1" applyBorder="1" applyAlignment="1">
      <x:alignment horizontal="center" vertical="center" wrapText="1"/>
    </x:xf>
    <x:xf numFmtId="0" fontId="30" fillId="11" borderId="0" xfId="0" applyNumberFormat="1" applyFont="1" applyFill="1" applyBorder="1" applyAlignment="1">
      <x:alignment horizontal="center" vertical="center" wrapText="1"/>
    </x:xf>
    <x:xf numFmtId="0" fontId="10" fillId="18" borderId="0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/>
    <x:xf numFmtId="0" fontId="12" fillId="26" borderId="0" xfId="0" applyNumberFormat="1" applyFont="1" applyFill="1" applyBorder="1"/>
    <x:xf numFmtId="0" fontId="12" fillId="26" borderId="0" xfId="0" applyNumberFormat="1" applyFont="1" applyFill="1" applyBorder="1" applyAlignment="1">
      <x:alignment wrapText="1"/>
    </x:xf>
    <x:xf numFmtId="0" fontId="12" fillId="26" borderId="0" xfId="0" applyNumberFormat="1" applyFont="1" applyFill="1" applyBorder="1" applyAlignment="1">
      <x:alignment horizontal="center" wrapText="1"/>
    </x:xf>
    <x:xf numFmtId="0" fontId="12" fillId="26" borderId="0" xfId="0" applyNumberFormat="1" applyFont="1" applyFill="1" applyBorder="1" applyAlignment="1">
      <x:alignment horizontal="center" vertical="center" wrapText="1"/>
    </x:xf>
    <x:xf numFmtId="0" fontId="22" fillId="27" borderId="0" xfId="0" applyNumberFormat="1" applyFont="1" applyFill="1" applyBorder="1" applyAlignment="1">
      <x:alignment horizontal="center" vertical="center" wrapText="1"/>
    </x:xf>
    <x:xf numFmtId="0" fontId="22" fillId="28" borderId="0" xfId="0" applyNumberFormat="1" applyFont="1" applyFill="1" applyBorder="1" applyAlignment="1">
      <x:alignment horizontal="center" vertical="center" wrapText="1"/>
    </x:xf>
    <x:xf numFmtId="0" fontId="22" fillId="29" borderId="0" xfId="0" applyNumberFormat="1" applyFont="1" applyFill="1" applyBorder="1" applyAlignment="1">
      <x:alignment horizontal="center" vertical="center" wrapText="1"/>
    </x:xf>
    <x:xf numFmtId="0" fontId="31" fillId="29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9" fillId="30" borderId="0" xfId="0" applyNumberFormat="1" applyFont="1" applyFill="1" applyBorder="1"/>
    <x:xf numFmtId="0" fontId="9" fillId="30" borderId="0" xfId="0" applyNumberFormat="1" applyFont="1" applyFill="1" applyBorder="1" applyAlignment="1">
      <x:alignment horizontal="center"/>
    </x:xf>
    <x:xf numFmtId="0" fontId="34" fillId="0" borderId="0" xfId="0" applyNumberFormat="1" applyFont="1" applyFill="1" applyBorder="1"/>
    <x:xf numFmtId="0" fontId="34" fillId="0" borderId="0" xfId="0" applyNumberFormat="1" applyFont="1" applyFill="1" applyBorder="1" applyAlignment="1">
      <x:alignment wrapText="1"/>
    </x:xf>
    <x:xf numFmtId="0" fontId="34" fillId="0" borderId="0" xfId="0" applyNumberFormat="1" applyFont="1" applyFill="1" applyBorder="1" applyAlignment="1">
      <x:alignment horizontal="center" wrapText="1"/>
    </x:xf>
    <x:xf numFmtId="0" fontId="34" fillId="0" borderId="0" xfId="0" applyNumberFormat="1" applyFont="1" applyFill="1" applyBorder="1" applyAlignment="1">
      <x:alignment horizontal="center" vertical="center" wrapText="1"/>
    </x:xf>
    <x:xf numFmtId="202" fontId="34" fillId="0" borderId="0" xfId="0" applyNumberFormat="1" applyFont="1" applyFill="1" applyBorder="1" applyAlignment="1">
      <x:alignment horizontal="center" vertical="center" wrapText="1"/>
    </x:xf>
    <x:xf numFmtId="200" fontId="22" fillId="27" borderId="0" xfId="0" applyNumberFormat="1" applyFont="1" applyFill="1" applyBorder="1" applyAlignment="1">
      <x:alignment horizontal="center" vertical="center" wrapText="1"/>
    </x:xf>
    <x:xf numFmtId="200" fontId="22" fillId="28" borderId="0" xfId="0" applyNumberFormat="1" applyFont="1" applyFill="1" applyBorder="1" applyAlignment="1">
      <x:alignment horizontal="center" vertical="center" wrapText="1"/>
    </x:xf>
    <x:xf numFmtId="200" fontId="31" fillId="29" borderId="0" xfId="0" applyNumberFormat="1" applyFont="1" applyFill="1" applyBorder="1" applyAlignment="1">
      <x:alignment horizontal="center" vertical="center" wrapText="1"/>
    </x:xf>
    <x:xf numFmtId="201" fontId="28" fillId="28" borderId="0" xfId="0" applyNumberFormat="1" applyFont="1" applyFill="1" applyBorder="1" applyAlignment="1">
      <x:alignment horizontal="center" vertical="center" wrapText="1"/>
    </x:xf>
    <x:xf numFmtId="0" fontId="28" fillId="28" borderId="0" xfId="0" applyNumberFormat="1" applyFont="1" applyFill="1" applyBorder="1" applyAlignment="1">
      <x:alignment horizontal="center" vertical="center" wrapText="1"/>
    </x:xf>
    <x:xf numFmtId="200" fontId="28" fillId="28" borderId="0" xfId="0" applyNumberFormat="1" applyFont="1" applyFill="1" applyBorder="1" applyAlignment="1">
      <x:alignment horizontal="center" vertical="center" wrapText="1"/>
    </x:xf>
    <x:xf numFmtId="200" fontId="10" fillId="28" borderId="0" xfId="0" applyNumberFormat="1" applyFont="1" applyFill="1" applyBorder="1" applyAlignment="1">
      <x:alignment horizontal="center" vertical="center" wrapText="1"/>
    </x:xf>
    <x:xf numFmtId="200" fontId="29" fillId="28" borderId="0" xfId="0" applyNumberFormat="1" applyFont="1" applyFill="1" applyBorder="1" applyAlignment="1">
      <x:alignment horizontal="center" vertical="center" wrapText="1"/>
    </x:xf>
    <x:xf numFmtId="201" fontId="28" fillId="29" borderId="0" xfId="0" applyNumberFormat="1" applyFont="1" applyFill="1" applyBorder="1" applyAlignment="1">
      <x:alignment horizontal="center" vertical="center" wrapText="1"/>
    </x:xf>
    <x:xf numFmtId="0" fontId="28" fillId="29" borderId="0" xfId="0" applyNumberFormat="1" applyFont="1" applyFill="1" applyBorder="1" applyAlignment="1">
      <x:alignment horizontal="center" vertical="center" wrapText="1"/>
    </x:xf>
    <x:xf numFmtId="200" fontId="28" fillId="29" borderId="0" xfId="0" applyNumberFormat="1" applyFont="1" applyFill="1" applyBorder="1" applyAlignment="1">
      <x:alignment horizontal="center" vertical="center" wrapText="1"/>
    </x:xf>
    <x:xf numFmtId="200" fontId="10" fillId="29" borderId="0" xfId="0" applyNumberFormat="1" applyFont="1" applyFill="1" applyBorder="1" applyAlignment="1">
      <x:alignment horizontal="center" vertical="center" wrapText="1"/>
    </x:xf>
    <x:xf numFmtId="201" fontId="30" fillId="29" borderId="0" xfId="0" applyNumberFormat="1" applyFont="1" applyFill="1" applyBorder="1" applyAlignment="1">
      <x:alignment horizontal="center" vertical="center" wrapText="1"/>
    </x:xf>
    <x:xf numFmtId="0" fontId="30" fillId="29" borderId="0" xfId="0" applyNumberFormat="1" applyFont="1" applyFill="1" applyBorder="1" applyAlignment="1">
      <x:alignment horizontal="center" vertical="center" wrapText="1"/>
    </x:xf>
    <x:xf numFmtId="200" fontId="30" fillId="29" borderId="0" xfId="0" applyNumberFormat="1" applyFont="1" applyFill="1" applyBorder="1" applyAlignment="1">
      <x:alignment horizontal="center" vertical="center" wrapText="1"/>
    </x:xf>
    <x:xf numFmtId="201" fontId="30" fillId="28" borderId="0" xfId="0" applyNumberFormat="1" applyFont="1" applyFill="1" applyBorder="1" applyAlignment="1">
      <x:alignment horizontal="center" vertical="center" wrapText="1"/>
    </x:xf>
    <x:xf numFmtId="0" fontId="30" fillId="28" borderId="0" xfId="0" applyNumberFormat="1" applyFont="1" applyFill="1" applyBorder="1" applyAlignment="1">
      <x:alignment horizontal="center" vertical="center" wrapText="1"/>
    </x:xf>
    <x:xf numFmtId="200" fontId="30" fillId="28" borderId="0" xfId="0" applyNumberFormat="1" applyFont="1" applyFill="1" applyBorder="1" applyAlignment="1">
      <x:alignment horizontal="center" vertical="center" wrapText="1"/>
    </x:xf>
    <x:xf numFmtId="0" fontId="32" fillId="28" borderId="0" xfId="0" applyNumberFormat="1" applyFont="1" applyFill="1" applyBorder="1" applyAlignment="1">
      <x:alignment horizontal="center" vertical="center" wrapText="1"/>
    </x:xf>
    <x:xf numFmtId="0" fontId="29" fillId="28" borderId="0" xfId="0" applyNumberFormat="1" applyFont="1" applyFill="1" applyBorder="1" applyAlignment="1">
      <x:alignment horizontal="center" vertical="center" wrapText="1"/>
    </x:xf>
    <x:xf numFmtId="200" fontId="31" fillId="27" borderId="0" xfId="0" applyNumberFormat="1" applyFont="1" applyFill="1" applyBorder="1" applyAlignment="1">
      <x:alignment horizontal="center" vertical="center" wrapText="1"/>
    </x:xf>
    <x:xf numFmtId="0" fontId="30" fillId="27" borderId="0" xfId="0" applyNumberFormat="1" applyFont="1" applyFill="1" applyBorder="1" applyAlignment="1">
      <x:alignment horizontal="center" vertical="center" wrapText="1"/>
    </x:xf>
    <x:xf numFmtId="200" fontId="32" fillId="27" borderId="0" xfId="0" applyNumberFormat="1" applyFont="1" applyFill="1" applyBorder="1" applyAlignment="1">
      <x:alignment horizontal="center" vertical="center" wrapText="1"/>
    </x:xf>
    <x:xf numFmtId="0" fontId="32" fillId="27" borderId="0" xfId="0" applyNumberFormat="1" applyFont="1" applyFill="1" applyBorder="1" applyAlignment="1">
      <x:alignment horizontal="center" vertical="center" wrapText="1"/>
    </x:xf>
    <x:xf numFmtId="0" fontId="29" fillId="29" borderId="0" xfId="0" applyNumberFormat="1" applyFont="1" applyFill="1" applyBorder="1" applyAlignment="1">
      <x:alignment horizontal="center" vertical="center" wrapText="1"/>
    </x:xf>
    <x:xf numFmtId="0" fontId="32" fillId="29" borderId="0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/>
    <x:xf numFmtId="0" fontId="28" fillId="28" borderId="0" xfId="0" applyNumberFormat="1" applyFont="1" applyFill="1" applyBorder="1"/>
    <x:xf numFmtId="0" fontId="28" fillId="28" borderId="0" xfId="0" applyNumberFormat="1" applyFont="1" applyFill="1" applyBorder="1" applyAlignment="1">
      <x:alignment wrapText="1"/>
    </x:xf>
    <x:xf numFmtId="0" fontId="28" fillId="28" borderId="0" xfId="0" applyNumberFormat="1" applyFont="1" applyFill="1" applyBorder="1" applyAlignment="1">
      <x:alignment horizontal="center" wrapText="1"/>
    </x:xf>
    <x:xf numFmtId="0" fontId="0" fillId="29" borderId="0" xfId="0" applyNumberFormat="1" applyFont="1" applyFill="1" applyBorder="1"/>
    <x:xf numFmtId="0" fontId="30" fillId="29" borderId="0" xfId="0" applyNumberFormat="1" applyFont="1" applyFill="1" applyBorder="1"/>
    <x:xf numFmtId="0" fontId="30" fillId="29" borderId="0" xfId="0" applyNumberFormat="1" applyFont="1" applyFill="1" applyBorder="1" applyAlignment="1">
      <x:alignment wrapText="1"/>
    </x:xf>
    <x:xf numFmtId="0" fontId="30" fillId="29" borderId="0" xfId="0" applyNumberFormat="1" applyFont="1" applyFill="1" applyBorder="1" applyAlignment="1">
      <x:alignment horizontal="center" wrapText="1"/>
    </x:xf>
    <x:xf numFmtId="200" fontId="10" fillId="27" borderId="0" xfId="0" applyNumberFormat="1" applyFont="1" applyFill="1" applyBorder="1" applyAlignment="1">
      <x:alignment horizontal="center" vertical="center" wrapText="1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horizontal="center" wrapText="1"/>
    </x:xf>
    <x:xf numFmtId="0" fontId="22" fillId="11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borderId="0" xfId="0" applyNumberFormat="1" applyFont="1" applyFill="1" applyBorder="1" applyAlignment="1">
      <x:alignment horizontal="center"/>
    </x:xf>
    <x:xf numFmtId="200" fontId="22" fillId="11" borderId="0" xfId="0" applyNumberFormat="1" applyFont="1" applyFill="1" applyBorder="1" applyAlignment="1">
      <x:alignment horizontal="center" vertical="center" wrapText="1"/>
    </x:xf>
    <x:xf numFmtId="201" fontId="28" fillId="19" borderId="0" xfId="0" applyNumberFormat="1" applyFont="1" applyFill="1" applyBorder="1" applyAlignment="1">
      <x:alignment horizontal="center" vertical="center" wrapText="1"/>
    </x:xf>
    <x:xf numFmtId="0" fontId="28" fillId="19" borderId="0" xfId="0" applyNumberFormat="1" applyFont="1" applyFill="1" applyBorder="1" applyAlignment="1">
      <x:alignment horizontal="center" vertical="center" wrapText="1"/>
    </x:xf>
    <x:xf numFmtId="200" fontId="28" fillId="19" borderId="0" xfId="0" applyNumberFormat="1" applyFont="1" applyFill="1" applyBorder="1" applyAlignment="1">
      <x:alignment horizontal="center" vertical="center" wrapText="1"/>
    </x:xf>
    <x:xf numFmtId="201" fontId="30" fillId="18" borderId="0" xfId="0" applyNumberFormat="1" applyFont="1" applyFill="1" applyBorder="1" applyAlignment="1">
      <x:alignment horizontal="center" vertical="center" wrapText="1"/>
    </x:xf>
    <x:xf numFmtId="0" fontId="30" fillId="18" borderId="0" xfId="0" applyNumberFormat="1" applyFont="1" applyFill="1" applyBorder="1" applyAlignment="1">
      <x:alignment horizontal="center" vertical="center" wrapText="1"/>
    </x:xf>
    <x:xf numFmtId="200" fontId="30" fillId="18" borderId="0" xfId="0" applyNumberFormat="1" applyFont="1" applyFill="1" applyBorder="1" applyAlignment="1">
      <x:alignment horizontal="center" vertical="center" wrapText="1"/>
    </x:xf>
    <x:xf numFmtId="0" fontId="32" fillId="18" borderId="0" xfId="0" applyNumberFormat="1" applyFont="1" applyFill="1" applyBorder="1" applyAlignment="1">
      <x:alignment horizontal="center" vertical="center" wrapText="1"/>
    </x:xf>
    <x:xf numFmtId="0" fontId="29" fillId="19" borderId="0" xfId="0" applyNumberFormat="1" applyFont="1" applyFill="1" applyBorder="1" applyAlignment="1">
      <x:alignment horizontal="center" vertical="center" wrapText="1"/>
    </x:xf>
    <x:xf numFmtId="0" fontId="32" fillId="19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28" fillId="18" borderId="0" xfId="0" applyNumberFormat="1" applyFont="1" applyFill="1" applyBorder="1"/>
    <x:xf numFmtId="0" fontId="28" fillId="18" borderId="0" xfId="0" applyNumberFormat="1" applyFont="1" applyFill="1" applyBorder="1" applyAlignment="1">
      <x:alignment wrapText="1"/>
    </x:xf>
    <x:xf numFmtId="0" fontId="28" fillId="18" borderId="0" xfId="0" applyNumberFormat="1" applyFont="1" applyFill="1" applyBorder="1" applyAlignment="1">
      <x:alignment horizontal="center" wrapText="1"/>
    </x:xf>
    <x:xf numFmtId="0" fontId="0" fillId="19" borderId="0" xfId="0" applyNumberFormat="1" applyFont="1" applyFill="1" applyBorder="1"/>
    <x:xf numFmtId="0" fontId="30" fillId="19" borderId="0" xfId="0" applyNumberFormat="1" applyFont="1" applyFill="1" applyBorder="1"/>
    <x:xf numFmtId="0" fontId="30" fillId="19" borderId="0" xfId="0" applyNumberFormat="1" applyFont="1" applyFill="1" applyBorder="1" applyAlignment="1">
      <x:alignment wrapText="1"/>
    </x:xf>
    <x:xf numFmtId="0" fontId="30" fillId="19" borderId="0" xfId="0" applyNumberFormat="1" applyFont="1" applyFill="1" applyBorder="1" applyAlignment="1">
      <x:alignment horizontal="center" wrapText="1"/>
    </x:xf>
    <x:xf numFmtId="0" fontId="0" fillId="31" borderId="0" xfId="0" applyNumberFormat="1" applyFont="1" applyFill="1" applyBorder="1"/>
    <x:xf numFmtId="0" fontId="12" fillId="31" borderId="0" xfId="0" applyNumberFormat="1" applyFont="1" applyFill="1" applyBorder="1"/>
    <x:xf numFmtId="0" fontId="12" fillId="31" borderId="0" xfId="0" applyNumberFormat="1" applyFont="1" applyFill="1" applyBorder="1" applyAlignment="1">
      <x:alignment horizontal="center"/>
    </x:xf>
    <x:xf numFmtId="0" fontId="12" fillId="31" borderId="0" xfId="0" applyNumberFormat="1" applyFont="1" applyFill="1" applyBorder="1" applyAlignment="1">
      <x:alignment horizontal="center" vertical="center"/>
    </x:xf>
    <x:xf numFmtId="0" fontId="0" fillId="32" borderId="0" xfId="0" applyNumberFormat="1" applyFont="1" applyFill="1" applyBorder="1"/>
    <x:xf numFmtId="0" fontId="9" fillId="32" borderId="0" xfId="0" applyNumberFormat="1" applyFont="1" applyFill="1" applyBorder="1"/>
    <x:xf numFmtId="0" fontId="9" fillId="32" borderId="0" xfId="0" applyNumberFormat="1" applyFont="1" applyFill="1" applyBorder="1" applyAlignment="1">
      <x:alignment wrapText="1"/>
    </x:xf>
    <x:xf numFmtId="0" fontId="9" fillId="32" borderId="0" xfId="0" applyNumberFormat="1" applyFont="1" applyFill="1" applyBorder="1" applyAlignment="1">
      <x:alignment horizontal="center" wrapText="1"/>
    </x:xf>
    <x:xf numFmtId="0" fontId="9" fillId="32" borderId="0" xfId="0" applyNumberFormat="1" applyFont="1" applyFill="1" applyBorder="1" applyAlignment="1">
      <x:alignment horizontal="center" vertical="center" wrapText="1"/>
    </x:xf>
    <x:xf numFmtId="0" fontId="7" fillId="33" borderId="0" xfId="0" applyNumberFormat="1" applyFont="1" applyFill="1" applyBorder="1" applyAlignment="1">
      <x:alignment horizontal="center" vertical="center" wrapText="1"/>
    </x:xf>
    <x:xf numFmtId="200" fontId="7" fillId="33" borderId="0" xfId="0" applyNumberFormat="1" applyFont="1" applyFill="1" applyBorder="1" applyAlignment="1">
      <x:alignment horizontal="center" vertical="center" wrapText="1"/>
    </x:xf>
    <x:xf numFmtId="0" fontId="7" fillId="34" borderId="0" xfId="0" applyNumberFormat="1" applyFont="1" applyFill="1" applyBorder="1" applyAlignment="1">
      <x:alignment horizontal="center" vertical="center" wrapText="1"/>
    </x:xf>
    <x:xf numFmtId="200" fontId="7" fillId="34" borderId="0" xfId="0" applyNumberFormat="1" applyFont="1" applyFill="1" applyBorder="1" applyAlignment="1">
      <x:alignment horizontal="center" vertical="center" wrapText="1"/>
    </x:xf>
    <x:xf numFmtId="0" fontId="0" fillId="35" borderId="0" xfId="0" applyNumberFormat="1" applyFont="1" applyFill="1" applyBorder="1"/>
    <x:xf numFmtId="0" fontId="12" fillId="35" borderId="0" xfId="0" applyNumberFormat="1" applyFont="1" applyFill="1" applyBorder="1"/>
    <x:xf numFmtId="0" fontId="12" fillId="35" borderId="0" xfId="0" applyNumberFormat="1" applyFont="1" applyFill="1" applyBorder="1" applyAlignment="1">
      <x:alignment horizontal="center"/>
    </x:xf>
    <x:xf numFmtId="0" fontId="12" fillId="35" borderId="0" xfId="0" applyNumberFormat="1" applyFont="1" applyFill="1" applyBorder="1" applyAlignment="1">
      <x:alignment horizontal="center" vertical="center"/>
    </x:xf>
    <x:xf numFmtId="0" fontId="0" fillId="36" borderId="0" xfId="0" applyNumberFormat="1" applyFont="1" applyFill="1" applyBorder="1"/>
    <x:xf numFmtId="0" fontId="11" fillId="36" borderId="0" xfId="0" applyNumberFormat="1" applyFont="1" applyFill="1" applyBorder="1"/>
    <x:xf numFmtId="0" fontId="11" fillId="36" borderId="0" xfId="0" applyNumberFormat="1" applyFont="1" applyFill="1" applyBorder="1" applyAlignment="1">
      <x:alignment wrapText="1"/>
    </x:xf>
    <x:xf numFmtId="0" fontId="11" fillId="36" borderId="0" xfId="0" applyNumberFormat="1" applyFont="1" applyFill="1" applyBorder="1" applyAlignment="1">
      <x:alignment horizontal="center" wrapText="1"/>
    </x:xf>
    <x:xf numFmtId="0" fontId="11" fillId="36" borderId="0" xfId="0" applyNumberFormat="1" applyFont="1" applyFill="1" applyBorder="1" applyAlignment="1">
      <x:alignment horizontal="center" vertical="center" wrapText="1"/>
    </x:xf>
    <x:xf numFmtId="0" fontId="12" fillId="2" borderId="0" xfId="0" applyNumberFormat="1" applyFont="1" applyFill="1" applyBorder="1" applyAlignment="1">
      <x:alignment horizontal="center"/>
    </x:xf>
    <x:xf numFmtId="0" fontId="12" fillId="2" borderId="0" xfId="0" applyNumberFormat="1" applyFont="1" applyFill="1" applyBorder="1" applyAlignment="1">
      <x:alignment horizontal="center" vertical="center"/>
    </x:xf>
    <x:xf numFmtId="0" fontId="9" fillId="15" borderId="0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horizontal="center" wrapText="1"/>
    </x:xf>
    <x:xf numFmtId="0" fontId="9" fillId="15" borderId="0" xfId="0" applyNumberFormat="1" applyFont="1" applyFill="1" applyBorder="1" applyAlignment="1">
      <x:alignment horizontal="center" vertical="center" wrapText="1"/>
    </x:xf>
    <x:xf numFmtId="0" fontId="7" fillId="18" borderId="0" xfId="0" applyNumberFormat="1" applyFont="1" applyFill="1" applyBorder="1" applyAlignment="1">
      <x:alignment horizontal="center" vertical="center" wrapText="1"/>
    </x:xf>
    <x:xf numFmtId="200" fontId="7" fillId="18" borderId="0" xfId="0" applyNumberFormat="1" applyFont="1" applyFill="1" applyBorder="1" applyAlignment="1">
      <x:alignment horizontal="center" vertical="center" wrapText="1"/>
    </x:xf>
    <x:xf numFmtId="0" fontId="7" fillId="21" borderId="0" xfId="0" applyNumberFormat="1" applyFont="1" applyFill="1" applyBorder="1" applyAlignment="1">
      <x:alignment horizontal="center" vertical="center" wrapText="1"/>
    </x:xf>
    <x:xf numFmtId="200" fontId="7" fillId="21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11" fillId="17" borderId="0" xfId="0" applyNumberFormat="1" applyFont="1" applyFill="1" applyBorder="1"/>
    <x:xf numFmtId="0" fontId="11" fillId="17" borderId="0" xfId="0" applyNumberFormat="1" applyFont="1" applyFill="1" applyBorder="1" applyAlignment="1">
      <x:alignment wrapText="1"/>
    </x:xf>
    <x:xf numFmtId="0" fontId="11" fillId="17" borderId="0" xfId="0" applyNumberFormat="1" applyFont="1" applyFill="1" applyBorder="1" applyAlignment="1">
      <x:alignment horizontal="center" wrapText="1"/>
    </x:xf>
    <x:xf numFmtId="0" fontId="11" fillId="17" borderId="0" xfId="0" applyNumberFormat="1" applyFont="1" applyFill="1" applyBorder="1" applyAlignment="1">
      <x:alignment horizontal="center" vertical="center" wrapText="1"/>
    </x:xf>
    <x:xf numFmtId="201" fontId="28" fillId="37" borderId="0" xfId="0" applyNumberFormat="1" applyFont="1" applyFill="1" applyBorder="1" applyAlignment="1">
      <x:alignment horizontal="center" vertical="center" wrapText="1"/>
    </x:xf>
    <x:xf numFmtId="0" fontId="28" fillId="37" borderId="0" xfId="0" applyNumberFormat="1" applyFont="1" applyFill="1" applyBorder="1" applyAlignment="1">
      <x:alignment horizontal="center" vertical="center" wrapText="1"/>
    </x:xf>
    <x:xf numFmtId="200" fontId="28" fillId="37" borderId="0" xfId="0" applyNumberFormat="1" applyFont="1" applyFill="1" applyBorder="1" applyAlignment="1">
      <x:alignment horizontal="center" vertical="center" wrapText="1"/>
    </x:xf>
    <x:xf numFmtId="200" fontId="10" fillId="37" borderId="0" xfId="0" applyNumberFormat="1" applyFont="1" applyFill="1" applyBorder="1" applyAlignment="1">
      <x:alignment horizontal="center" vertical="center" wrapText="1"/>
    </x:xf>
    <x:xf numFmtId="200" fontId="29" fillId="37" borderId="0" xfId="0" applyNumberFormat="1" applyFont="1" applyFill="1" applyBorder="1" applyAlignment="1">
      <x:alignment horizontal="center" vertical="center" wrapText="1"/>
    </x:xf>
    <x:xf numFmtId="201" fontId="30" fillId="38" borderId="0" xfId="0" applyNumberFormat="1" applyFont="1" applyFill="1" applyBorder="1" applyAlignment="1">
      <x:alignment horizontal="center" vertical="center" wrapText="1"/>
    </x:xf>
    <x:xf numFmtId="0" fontId="30" fillId="38" borderId="0" xfId="0" applyNumberFormat="1" applyFont="1" applyFill="1" applyBorder="1" applyAlignment="1">
      <x:alignment horizontal="center" vertical="center" wrapText="1"/>
    </x:xf>
    <x:xf numFmtId="200" fontId="30" fillId="38" borderId="0" xfId="0" applyNumberFormat="1" applyFont="1" applyFill="1" applyBorder="1" applyAlignment="1">
      <x:alignment horizontal="center" vertical="center" wrapText="1"/>
    </x:xf>
    <x:xf numFmtId="200" fontId="10" fillId="38" borderId="0" xfId="0" applyNumberFormat="1" applyFont="1" applyFill="1" applyBorder="1" applyAlignment="1">
      <x:alignment horizontal="center" vertical="center" wrapText="1"/>
    </x:xf>
    <x:xf numFmtId="200" fontId="31" fillId="38" borderId="0" xfId="0" applyNumberFormat="1" applyFont="1" applyFill="1" applyBorder="1" applyAlignment="1">
      <x:alignment horizontal="center" vertical="center" wrapText="1"/>
    </x:xf>
    <x:xf numFmtId="0" fontId="29" fillId="37" borderId="0" xfId="0" applyNumberFormat="1" applyFont="1" applyFill="1" applyBorder="1" applyAlignment="1">
      <x:alignment horizontal="center" vertical="center" wrapText="1"/>
    </x:xf>
    <x:xf numFmtId="0" fontId="32" fillId="38" borderId="0" xfId="0" applyNumberFormat="1" applyFont="1" applyFill="1" applyBorder="1" applyAlignment="1">
      <x:alignment horizontal="center" vertical="center" wrapText="1"/>
    </x:xf>
    <x:xf numFmtId="0" fontId="31" fillId="38" borderId="0" xfId="0" applyNumberFormat="1" applyFont="1" applyFill="1" applyBorder="1" applyAlignment="1">
      <x:alignment horizontal="center" vertical="center" wrapText="1"/>
    </x:xf>
    <x:xf numFmtId="200" fontId="31" fillId="39" borderId="0" xfId="0" applyNumberFormat="1" applyFont="1" applyFill="1" applyBorder="1" applyAlignment="1">
      <x:alignment horizontal="center" vertical="center" wrapText="1"/>
    </x:xf>
    <x:xf numFmtId="0" fontId="31" fillId="39" borderId="0" xfId="0" applyNumberFormat="1" applyFont="1" applyFill="1" applyBorder="1" applyAlignment="1">
      <x:alignment horizontal="center" vertical="center" wrapText="1"/>
    </x:xf>
    <x:xf numFmtId="200" fontId="32" fillId="39" borderId="0" xfId="0" applyNumberFormat="1" applyFont="1" applyFill="1" applyBorder="1" applyAlignment="1">
      <x:alignment horizontal="center" vertical="center" wrapText="1"/>
    </x:xf>
    <x:xf numFmtId="0" fontId="32" fillId="39" borderId="0" xfId="0" applyNumberFormat="1" applyFont="1" applyFill="1" applyBorder="1" applyAlignment="1">
      <x:alignment horizontal="center" vertical="center" wrapText="1"/>
    </x:xf>
    <x:xf numFmtId="201" fontId="28" fillId="38" borderId="0" xfId="0" applyNumberFormat="1" applyFont="1" applyFill="1" applyBorder="1" applyAlignment="1">
      <x:alignment horizontal="center" vertical="center" wrapText="1"/>
    </x:xf>
    <x:xf numFmtId="0" fontId="28" fillId="38" borderId="0" xfId="0" applyNumberFormat="1" applyFont="1" applyFill="1" applyBorder="1" applyAlignment="1">
      <x:alignment horizontal="center" vertical="center" wrapText="1"/>
    </x:xf>
    <x:xf numFmtId="200" fontId="28" fillId="38" borderId="0" xfId="0" applyNumberFormat="1" applyFont="1" applyFill="1" applyBorder="1" applyAlignment="1">
      <x:alignment horizontal="center" vertical="center" wrapText="1"/>
    </x:xf>
    <x:xf numFmtId="0" fontId="30" fillId="39" borderId="0" xfId="0" applyNumberFormat="1" applyFont="1" applyFill="1" applyBorder="1" applyAlignment="1">
      <x:alignment horizontal="center" vertical="center" wrapText="1"/>
    </x:xf>
    <x:xf numFmtId="201" fontId="30" fillId="37" borderId="0" xfId="0" applyNumberFormat="1" applyFont="1" applyFill="1" applyBorder="1" applyAlignment="1">
      <x:alignment horizontal="center" vertical="center" wrapText="1"/>
    </x:xf>
    <x:xf numFmtId="0" fontId="30" fillId="37" borderId="0" xfId="0" applyNumberFormat="1" applyFont="1" applyFill="1" applyBorder="1" applyAlignment="1">
      <x:alignment horizontal="center" vertical="center" wrapText="1"/>
    </x:xf>
    <x:xf numFmtId="200" fontId="30" fillId="37" borderId="0" xfId="0" applyNumberFormat="1" applyFont="1" applyFill="1" applyBorder="1" applyAlignment="1">
      <x:alignment horizontal="center" vertical="center" wrapText="1"/>
    </x:xf>
    <x:xf numFmtId="0" fontId="32" fillId="37" borderId="0" xfId="0" applyNumberFormat="1" applyFont="1" applyFill="1" applyBorder="1" applyAlignment="1">
      <x:alignment horizontal="center" vertical="center" wrapText="1"/>
    </x:xf>
    <x:xf numFmtId="0" fontId="0" fillId="37" borderId="0" xfId="0" applyNumberFormat="1" applyFont="1" applyFill="1" applyBorder="1"/>
    <x:xf numFmtId="0" fontId="28" fillId="37" borderId="0" xfId="0" applyNumberFormat="1" applyFont="1" applyFill="1" applyBorder="1"/>
    <x:xf numFmtId="0" fontId="28" fillId="37" borderId="0" xfId="0" applyNumberFormat="1" applyFont="1" applyFill="1" applyBorder="1" applyAlignment="1">
      <x:alignment wrapText="1"/>
    </x:xf>
    <x:xf numFmtId="0" fontId="28" fillId="37" borderId="0" xfId="0" applyNumberFormat="1" applyFont="1" applyFill="1" applyBorder="1" applyAlignment="1">
      <x:alignment horizontal="center" wrapText="1"/>
    </x:xf>
    <x:xf numFmtId="200" fontId="10" fillId="3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0000FF"/>
      </x:font>
      <x:fill>
        <x:patternFill>
          <x:bgColor rgb="FFFFF2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FF0000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edc7c56cc940eb" /><Relationship Type="http://schemas.openxmlformats.org/officeDocument/2006/relationships/theme" Target="/xl/theme/theme1.xml" Id="Rbd7793aa8ba54a51" /><Relationship Type="http://schemas.openxmlformats.org/officeDocument/2006/relationships/sharedStrings" Target="/xl/sharedStrings.xml" Id="R08e1d675edad4dda" /><Relationship Type="http://schemas.openxmlformats.org/officeDocument/2006/relationships/worksheet" Target="/xl/worksheets/sheet1.xml" Id="Re333235f27d944af" /></Relationships>
</file>

<file path=xl/tables/table1.xml><?xml version="1.0" encoding="utf-8"?>
<x:table xmlns:x="http://schemas.openxmlformats.org/spreadsheetml/2006/main" id="1" name="CashFlowTable" displayName="CashFlowTable" ref="A6:L84" headerRowCount="1" totalsRowCount="0" totalsRowShown="0">
  <x:tableColumns count="12">
    <x:tableColumn id="1" name="תאריך בבנק"/>
    <x:tableColumn id="2" name="חודש"/>
    <x:tableColumn id="3" name="סוג"/>
    <x:tableColumn id="4" name="לקוח / ספק"/>
    <x:tableColumn id="5" name="עבור מה התשלום"/>
    <x:tableColumn id="6" name="אופן תשלום"/>
    <x:tableColumn id="7" name="סכום מקור"/>
    <x:tableColumn id="8" name="מטבע"/>
    <x:tableColumn id="9" name="סכום ₪"/>
    <x:tableColumn id="10" name="סטטוס"/>
    <x:tableColumn id="11" name="יתרת בנק לאחר תנועה"/>
    <x:tableColumn id="12" name="הערות / מקו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eed3552d8b4db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11" hidden="0" customWidth="1"/>
    <x:col min="4" max="4" width="28" hidden="0" customWidth="1"/>
    <x:col min="5" max="5" width="40" hidden="0" customWidth="1"/>
    <x:col min="6" max="6" width="20" hidden="0" customWidth="1"/>
    <x:col min="7" max="7" width="14" hidden="0" customWidth="1"/>
    <x:col min="8" max="8" width="10" hidden="0" customWidth="1"/>
    <x:col min="9" max="9" width="15" hidden="0" customWidth="1"/>
    <x:col min="10" max="10" width="14" hidden="0" customWidth="1"/>
    <x:col min="11" max="11" width="20" hidden="0" customWidth="1"/>
    <x:col min="12" max="12" width="42" hidden="0" customWidth="1"/>
    <x:col min="14" max="14" width="13" hidden="0" customWidth="1"/>
    <x:col min="15" max="15" width="26" hidden="0" customWidth="1"/>
    <x:col min="16" max="16" width="34" hidden="0" customWidth="1"/>
    <x:col min="17" max="17" width="18" hidden="0" customWidth="1"/>
    <x:col min="18" max="18" width="38" hidden="0" customWidth="1"/>
    <x:col min="20" max="20" width="14" hidden="0" customWidth="1"/>
    <x:col min="21" max="21" width="25" hidden="0" customWidth="1"/>
    <x:col min="22" max="22" width="16" hidden="0" customWidth="1"/>
    <x:col min="23" max="23" width="19" hidden="0" customWidth="1"/>
    <x:col min="24" max="24" width="19" hidden="0" customWidth="1"/>
    <x:col min="25" max="25" width="18" hidden="0" customWidth="1"/>
  </x:cols>
  <x:sheetData>
    <x:row r="1" ht="32" customHeight="1">
      <x:c r="A1" s="163" t="str">
        <x:v>תזרים מזומנים מרכזי | אוגוסט–אוקטובר 2026</x:v>
      </x:c>
      <x:c r="B1" s="163"/>
      <x:c r="C1" s="163"/>
      <x:c r="D1" s="163"/>
      <x:c r="E1" s="163"/>
      <x:c r="F1" s="163"/>
      <x:c r="G1" s="163"/>
      <x:c r="H1" s="163"/>
      <x:c r="I1" s="163"/>
      <x:c r="J1" s="163"/>
      <x:c r="K1" s="163"/>
      <x:c r="L1" s="163"/>
      <x:c r="M1" s="140"/>
      <x:c r="N1" s="201" t="str">
        <x:v>חודש</x:v>
      </x:c>
      <x:c r="O1" s="201" t="str">
        <x:v>יתרת פתיחה</x:v>
      </x:c>
      <x:c r="P1" s="201" t="str">
        <x:v>הכנסות</x:v>
      </x:c>
      <x:c r="Q1" s="201" t="str">
        <x:v>הוצאות ידועות</x:v>
      </x:c>
      <x:c r="R1" s="201" t="str">
        <x:v>יתרת סגירה ידועה</x:v>
      </x:c>
      <x:c r="T1" s="258" t="str">
        <x:v>חודש פעילות</x:v>
      </x:c>
      <x:c r="U1" s="258" t="str">
        <x:v>הכנסות חייבות כולל מע״מ</x:v>
      </x:c>
      <x:c r="V1" s="258" t="str">
        <x:v>מע״מ עסקאות</x:v>
      </x:c>
      <x:c r="W1" s="258" t="str">
        <x:v>מע״מ תשומות משוער</x:v>
      </x:c>
      <x:c r="X1" s="258" t="str">
        <x:v>מע״מ משוער לתשלום</x:v>
      </x:c>
      <x:c r="Y1" s="258" t="str">
        <x:v>מועד תשלום בתזרים</x:v>
      </x:c>
    </x:row>
    <x:row r="2" ht="27" customHeight="1">
      <x:c r="A2" s="165" t="str">
        <x:v>תאריך יתרת פתיחה</x:v>
      </x:c>
      <x:c r="B2" s="168" t="n">
        <x:v>46243</x:v>
      </x:c>
      <x:c r="C2" s="144"/>
      <x:c r="D2" s="165" t="str">
        <x:v>הכנסות ידועות (₪)</x:v>
      </x:c>
      <x:c r="E2" s="169" t="n">
        <x:f>SUMIF(C7:C84,"הכנסה",I7:I84)</x:f>
        <x:v>135988.6</x:v>
      </x:c>
      <x:c r="F2" s="144"/>
      <x:c r="G2" s="165" t="str">
        <x:v>יתרה צפויה לפי הידוע (₪)</x:v>
      </x:c>
      <x:c r="H2" s="169" t="n">
        <x:f>$B$3+E2-E3</x:f>
        <x:v>111166.13288135594</x:v>
      </x:c>
      <x:c r="I2" s="144"/>
      <x:c r="J2" s="165" t="str">
        <x:v>הערה</x:v>
      </x:c>
      <x:c r="K2" s="173" t="str">
        <x:v>כאשר יש כמה תנועות באותו תאריך ואין שעת סליקה, היתרה בתוך היום תלויה בסדר הרשומות.</x:v>
      </x:c>
      <x:c r="L2" s="173"/>
      <x:c r="M2" s="140"/>
      <x:c r="N2" s="165" t="str">
        <x:v>אוגוסט</x:v>
      </x:c>
      <x:c r="O2" s="147" t="n">
        <x:f>$B$3</x:f>
        <x:v>17899</x:v>
      </x:c>
      <x:c r="P2" s="183" t="n">
        <x:f>SUMIFS($I$7:$I$84,$C$7:$C$84,"הכנסה",$B$7:$B$84,N2)</x:f>
        <x:v>42102</x:v>
      </x:c>
      <x:c r="Q2" s="192" t="n">
        <x:f>SUMIFS($I$7:$I$84,$C$7:$C$84,"הוצאה",$B$7:$B$84,N2)</x:f>
        <x:v>7670</x:v>
      </x:c>
      <x:c r="R2" s="203" t="n">
        <x:f>O2+P2-Q2</x:f>
        <x:v>52331</x:v>
      </x:c>
      <x:c r="T2" s="156" t="str">
        <x:v>אוגוסט</x:v>
      </x:c>
      <x:c r="U2" s="147" t="n">
        <x:v>42548.8</x:v>
      </x:c>
      <x:c r="V2" s="271" t="n">
        <x:f>U2*$U$7/(1+$U$7)</x:f>
        <x:v>6490.494915254239</x:v>
      </x:c>
      <x:c r="W2" s="272" t="n">
        <x:v>1677.21</x:v>
      </x:c>
      <x:c r="X2" s="273" t="n">
        <x:f>MAX(0,V2-W2)</x:f>
        <x:v>4813.2849152542385</x:v>
      </x:c>
      <x:c r="Y2" s="156" t="str">
        <x:v>15/09/2026</x:v>
      </x:c>
    </x:row>
    <x:row r="3" ht="27" customHeight="1">
      <x:c r="A3" s="165" t="str">
        <x:v>יתרת פתיחה (₪)</x:v>
      </x:c>
      <x:c r="B3" s="169" t="n">
        <x:v>17899</x:v>
      </x:c>
      <x:c r="C3" s="144"/>
      <x:c r="D3" s="165" t="str">
        <x:v>הוצאות ידועות (₪)</x:v>
      </x:c>
      <x:c r="E3" s="169" t="n">
        <x:f>SUMIF(C7:C84,"הוצאה",I7:I84)</x:f>
        <x:v>42721.467118644076</x:v>
      </x:c>
      <x:c r="F3" s="144"/>
      <x:c r="G3" s="165" t="str">
        <x:v>סעיפים חסרי סכום</x:v>
      </x:c>
      <x:c r="H3" s="171" t="n">
        <x:f>COUNTIF(J7:J84,"חסר סכום")</x:f>
        <x:v>5</x:v>
      </x:c>
      <x:c r="I3" s="144"/>
      <x:c r="J3" s="165" t="str">
        <x:v>חשוב</x:v>
      </x:c>
      <x:c r="K3" s="173" t="str">
        <x:v>תשלומי המיסים עדיין ללא סכום ולכן היתרות מחושבות בלעדיהם עד שיוזן סכום.</x:v>
      </x:c>
      <x:c r="L3" s="173"/>
      <x:c r="M3" s="140"/>
      <x:c r="N3" s="165" t="str">
        <x:v>ספטמבר</x:v>
      </x:c>
      <x:c r="O3" s="147" t="n">
        <x:f>R2</x:f>
        <x:v>52331</x:v>
      </x:c>
      <x:c r="P3" s="183" t="n">
        <x:f>SUMIFS($I$7:$I$84,$C$7:$C$84,"הכנסה",$B$7:$B$84,N3)</x:f>
        <x:v>57234.8</x:v>
      </x:c>
      <x:c r="Q3" s="192" t="n">
        <x:f>SUMIFS($I$7:$I$84,$C$7:$C$84,"הוצאה",$B$7:$B$84,N3)</x:f>
        <x:v>17919.114915254235</x:v>
      </x:c>
      <x:c r="R3" s="203" t="n">
        <x:f>O3+P3-Q3</x:f>
        <x:v>91646.68508474577</x:v>
      </x:c>
      <x:c r="T3" s="156" t="str">
        <x:v>ספטמבר</x:v>
      </x:c>
      <x:c r="U3" s="147" t="n">
        <x:v>57234.8</x:v>
      </x:c>
      <x:c r="V3" s="271" t="n">
        <x:f>U3*$U$7/(1+$U$7)</x:f>
        <x:v>8730.732203389833</x:v>
      </x:c>
      <x:c r="W3" s="272" t="n">
        <x:v>507.21</x:v>
      </x:c>
      <x:c r="X3" s="273" t="n">
        <x:f>MAX(0,V3-W3)</x:f>
        <x:v>8223.522203389834</x:v>
      </x:c>
      <x:c r="Y3" s="156" t="str">
        <x:v>15/10/2026</x:v>
      </x:c>
    </x:row>
    <x:row r="4" ht="27" customHeight="1">
      <x:c r="A4" s="140"/>
      <x:c r="B4" s="140"/>
      <x:c r="C4" s="140"/>
      <x:c r="D4" s="140"/>
      <x:c r="E4" s="140"/>
      <x:c r="F4" s="140"/>
      <x:c r="G4" s="140"/>
      <x:c r="H4" s="140"/>
      <x:c r="I4" s="140"/>
      <x:c r="J4" s="140"/>
      <x:c r="K4" s="140"/>
      <x:c r="L4" s="140"/>
      <x:c r="M4" s="140"/>
      <x:c r="N4" s="165" t="str">
        <x:v>אוקטובר</x:v>
      </x:c>
      <x:c r="O4" s="147" t="n">
        <x:f>R3</x:f>
        <x:v>91646.68508474577</x:v>
      </x:c>
      <x:c r="P4" s="183" t="n">
        <x:f>SUMIFS($I$7:$I$84,$C$7:$C$84,"הכנסה",$B$7:$B$84,N4)</x:f>
        <x:v>36651.8</x:v>
      </x:c>
      <x:c r="Q4" s="192" t="n">
        <x:f>SUMIFS($I$7:$I$84,$C$7:$C$84,"הוצאה",$B$7:$B$84,N4)</x:f>
        <x:v>17132.352203389833</x:v>
      </x:c>
      <x:c r="R4" s="203" t="n">
        <x:f>O4+P4-Q4</x:f>
        <x:v>111166.13288135594</x:v>
      </x:c>
      <x:c r="T4" s="156" t="str">
        <x:v>אוקטובר</x:v>
      </x:c>
      <x:c r="U4" s="147" t="n">
        <x:v>36651.8</x:v>
      </x:c>
      <x:c r="V4" s="271" t="n">
        <x:f>U4*$U$7/(1+$U$7)</x:f>
        <x:v>5590.952542372882</x:v>
      </x:c>
      <x:c r="W4" s="272" t="n">
        <x:v>507.21</x:v>
      </x:c>
      <x:c r="X4" s="273" t="n">
        <x:f>MAX(0,V4-W4)</x:f>
        <x:v>5083.742542372882</x:v>
      </x:c>
      <x:c r="Y4" s="156" t="str">
        <x:v>15/11/2026</x:v>
      </x:c>
    </x:row>
    <x:row r="5">
      <x:c r="A5" s="140"/>
      <x:c r="B5" s="140"/>
      <x:c r="C5" s="140"/>
      <x:c r="D5" s="140"/>
      <x:c r="E5" s="140"/>
      <x:c r="F5" s="140"/>
      <x:c r="G5" s="140"/>
      <x:c r="H5" s="140"/>
      <x:c r="I5" s="140"/>
      <x:c r="J5" s="140"/>
      <x:c r="K5" s="140"/>
      <x:c r="L5" s="140"/>
      <x:c r="M5" s="140"/>
      <x:c r="N5" s="140"/>
      <x:c r="O5" s="140"/>
      <x:c r="P5" s="140"/>
      <x:c r="Q5" s="140"/>
      <x:c r="R5" s="140"/>
    </x:row>
    <x:row r="6" ht="30" customHeight="1">
      <x:c r="A6" s="175" t="str">
        <x:v>תאריך בבנק</x:v>
      </x:c>
      <x:c r="B6" s="175" t="str">
        <x:v>חודש</x:v>
      </x:c>
      <x:c r="C6" s="175" t="str">
        <x:v>סוג</x:v>
      </x:c>
      <x:c r="D6" s="175" t="str">
        <x:v>לקוח / ספק</x:v>
      </x:c>
      <x:c r="E6" s="175" t="str">
        <x:v>עבור מה התשלום</x:v>
      </x:c>
      <x:c r="F6" s="175" t="str">
        <x:v>אופן תשלום</x:v>
      </x:c>
      <x:c r="G6" s="175" t="str">
        <x:v>סכום מקור</x:v>
      </x:c>
      <x:c r="H6" s="175" t="str">
        <x:v>מטבע</x:v>
      </x:c>
      <x:c r="I6" s="175" t="str">
        <x:v>סכום ₪</x:v>
      </x:c>
      <x:c r="J6" s="175" t="str">
        <x:v>סטטוס</x:v>
      </x:c>
      <x:c r="K6" s="175" t="str">
        <x:v>יתרת בנק לאחר תנועה</x:v>
      </x:c>
      <x:c r="L6" s="175" t="str">
        <x:v>הערות / מקור</x:v>
      </x:c>
      <x:c r="M6" s="140"/>
      <x:c r="N6" s="205" t="str">
        <x:v>התחייבות ידועה מחוץ לתקופה</x:v>
      </x:c>
      <x:c r="O6" s="205"/>
      <x:c r="P6" s="205"/>
      <x:c r="Q6" s="205"/>
      <x:c r="R6" s="205"/>
      <x:c r="T6" s="265" t="str">
        <x:v>הנחת מע״מ</x:v>
      </x:c>
      <x:c r="U6" s="265" t="str">
        <x:v>ערך / מקור</x:v>
      </x:c>
    </x:row>
    <x:row r="7" ht="28" customHeight="1">
      <x:c r="A7" s="367" t="str">
        <x:v>46244</x:v>
      </x:c>
      <x:c r="B7" s="368" t="str">
        <x:v>אוגוסט</x:v>
      </x:c>
      <x:c r="C7" s="368" t="str">
        <x:v>הכנסה</x:v>
      </x:c>
      <x:c r="D7" s="368" t="str">
        <x:v>ש. שוורץ באר שבע בע״מ</x:v>
      </x:c>
      <x:c r="E7" s="368" t="str">
        <x:v>אחסון אתר VPS – s-schwartz.co.il</x:v>
      </x:c>
      <x:c r="F7" s="368" t="str">
        <x:v>הוראת קבע</x:v>
      </x:c>
      <x:c r="G7" s="369" t="str">
        <x:v>649</x:v>
      </x:c>
      <x:c r="H7" s="368" t="str">
        <x:v>ILS</x:v>
      </x:c>
      <x:c r="I7" s="370" t="str">
        <x:v>649</x:v>
      </x:c>
      <x:c r="J7" s="368" t="str">
        <x:v>מאושר</x:v>
      </x:c>
      <x:c r="K7" s="370" t="n">
        <x:f>$B$3+IF(I7="",0,IF(C7="הכנסה",I7,-I7))</x:f>
        <x:v>18548</x:v>
      </x:c>
      <x:c r="L7" s="368" t="str">
        <x:v>נמסר על ידי המשתמש</x:v>
      </x:c>
      <x:c r="M7" s="140"/>
      <x:c r="N7" s="206" t="str">
        <x:v>01/11/2026</x:v>
      </x:c>
      <x:c r="O7" s="206" t="str">
        <x:v>יובל שכטר</x:v>
      </x:c>
      <x:c r="P7" s="206" t="str">
        <x:v>רואה חשבון – שירות חודשי</x:v>
      </x:c>
      <x:c r="Q7" s="206" t="str">
        <x:v>₪1,755.00</x:v>
      </x:c>
      <x:c r="R7" s="206" t="str">
        <x:v>הוראת קבע בנקאית; יורד אחרי 31/10 ולכן לא מופחת מהתזרים</x:v>
      </x:c>
      <x:c r="T7" s="269" t="str">
        <x:v>שיעור מע״מ</x:v>
      </x:c>
      <x:c r="U7" s="270" t="n">
        <x:v>0.18</x:v>
      </x:c>
    </x:row>
    <x:row r="8" ht="28" customHeight="1">
      <x:c r="A8" s="372" t="str">
        <x:v>46244</x:v>
      </x:c>
      <x:c r="B8" s="373" t="str">
        <x:v>אוגוסט</x:v>
      </x:c>
      <x:c r="C8" s="373" t="str">
        <x:v>הוצאה</x:v>
      </x:c>
      <x:c r="D8" s="373" t="str">
        <x:v>אבי אללוף</x:v>
      </x:c>
      <x:c r="E8" s="373" t="str">
        <x:v>משכורת 5 צרפתי</x:v>
      </x:c>
      <x:c r="F8" s="373" t="str">
        <x:v>העברה בנקאית</x:v>
      </x:c>
      <x:c r="G8" s="374" t="str">
        <x:v>7670</x:v>
      </x:c>
      <x:c r="H8" s="373" t="str">
        <x:v>ILS</x:v>
      </x:c>
      <x:c r="I8" s="375" t="str">
        <x:v>7670</x:v>
      </x:c>
      <x:c r="J8" s="373" t="str">
        <x:v>מאושר</x:v>
      </x:c>
      <x:c r="K8" s="375" t="n">
        <x:f>K7+IF(I8="",0,IF(C8="הכנסה",I8,-I8))</x:f>
        <x:v>10878</x:v>
      </x:c>
      <x:c r="L8" s="373" t="str">
        <x:v>כולל מע״מ; העברה בנקאית בתאריך 10.08.2026 כפי שנמסר</x:v>
      </x:c>
      <x:c r="M8" s="140"/>
      <x:c r="N8" s="206" t="str">
        <x:v>02/11/2026</x:v>
      </x:c>
      <x:c r="O8" s="206" t="str">
        <x:v>Cursor</x:v>
      </x:c>
      <x:c r="P8" s="206" t="str">
        <x:v>מנוי אוקטובר</x:v>
      </x:c>
      <x:c r="Q8" s="206" t="str">
        <x:v>$120</x:v>
      </x:c>
      <x:c r="R8" s="206" t="str">
        <x:v>יורד אחרי 31/10 ולכן לא מופחת מהתזרים</x:v>
      </x:c>
      <x:c r="T8" s="269" t="str">
        <x:v>הנחת הכנסות</x:v>
      </x:c>
      <x:c r="U8" s="269" t="str">
        <x:v>כל ההכנסות שסופקו נחשבות חייבות ומוצגות כולל מע״מ</x:v>
      </x:c>
    </x:row>
    <x:row r="9" ht="28" customHeight="1">
      <x:c r="A9" s="367" t="str">
        <x:v>46246</x:v>
      </x:c>
      <x:c r="B9" s="368" t="str">
        <x:v>אוגוסט</x:v>
      </x:c>
      <x:c r="C9" s="368" t="str">
        <x:v>הכנסה</x:v>
      </x:c>
      <x:c r="D9" s="368" t="str">
        <x:v>אלקטרו פויינט / Shay Patel</x:v>
      </x:c>
      <x:c r="E9" s="368" t="str">
        <x:v>ייעוץ דיגיטלי וליווי חודשי</x:v>
      </x:c>
      <x:c r="F9" s="368" t="str">
        <x:v>הוראת קבע</x:v>
      </x:c>
      <x:c r="G9" s="369" t="str">
        <x:v>2360</x:v>
      </x:c>
      <x:c r="H9" s="368" t="str">
        <x:v>ILS</x:v>
      </x:c>
      <x:c r="I9" s="370" t="str">
        <x:v>2360</x:v>
      </x:c>
      <x:c r="J9" s="368" t="str">
        <x:v>מאושר</x:v>
      </x:c>
      <x:c r="K9" s="370" t="n">
        <x:f>K8+IF(I9="",0,IF(C9="הכנסה",I9,-I9))</x:f>
        <x:v>13238</x:v>
      </x:c>
      <x:c r="L9" s="368" t="str">
        <x:v>נמסר על ידי המשתמש</x:v>
      </x:c>
      <x:c r="M9" s="140"/>
      <x:c r="N9" s="206" t="str">
        <x:v>02/11/2026</x:v>
      </x:c>
      <x:c r="O9" s="206" t="str">
        <x:v>טלזר 019</x:v>
      </x:c>
      <x:c r="P9" s="206" t="str">
        <x:v>שירותי תקשורת – חיוב אוקטובר</x:v>
      </x:c>
      <x:c r="Q9" s="206" t="str">
        <x:v>₪124.50</x:v>
      </x:c>
      <x:c r="R9" s="206" t="str">
        <x:v>יורד אחרי 31/10 ולכן לא מופחת מהתזרים</x:v>
      </x:c>
      <x:c r="T9" s="269" t="str">
        <x:v>הנחת תשומות</x:v>
      </x:c>
      <x:c r="U9" s="269" t="str">
        <x:v>קוזזו רק תשומות ידועות; יובל שכטר וטיטי הונחו כחשבוניות מס תקינות הכוללות מע״מ</x:v>
      </x:c>
    </x:row>
    <x:row r="10" ht="28" customHeight="1">
      <x:c r="A10" s="367" t="str">
        <x:v>46249</x:v>
      </x:c>
      <x:c r="B10" s="368" t="str">
        <x:v>אוגוסט</x:v>
      </x:c>
      <x:c r="C10" s="368" t="str">
        <x:v>הכנסה</x:v>
      </x:c>
      <x:c r="D10" s="368" t="str">
        <x:v>MSI</x:v>
      </x:c>
      <x:c r="E10" s="368" t="str">
        <x:v>תשלום 1</x:v>
      </x:c>
      <x:c r="F10" s="368"/>
      <x:c r="G10" s="369" t="str">
        <x:v>2596</x:v>
      </x:c>
      <x:c r="H10" s="368" t="str">
        <x:v>ILS</x:v>
      </x:c>
      <x:c r="I10" s="370" t="str">
        <x:v>2596</x:v>
      </x:c>
      <x:c r="J10" s="368" t="str">
        <x:v>מאושר</x:v>
      </x:c>
      <x:c r="K10" s="370" t="n">
        <x:f>K9+IF(I10="",0,IF(C10="הכנסה",I10,-I10))</x:f>
        <x:v>15834</x:v>
      </x:c>
      <x:c r="L10" s="368" t="str">
        <x:v>נמסר על ידי המשתמש</x:v>
      </x:c>
      <x:c r="M10" s="140"/>
      <x:c r="N10" s="206" t="str">
        <x:v>02/11/2026</x:v>
      </x:c>
      <x:c r="O10" s="206" t="str">
        <x:v>GREEN-API</x:v>
      </x:c>
      <x:c r="P10" s="206" t="str">
        <x:v>שירות API – חיוב אוקטובר</x:v>
      </x:c>
      <x:c r="Q10" s="206" t="str">
        <x:v>$12 / ₪37.70</x:v>
      </x:c>
      <x:c r="R10" s="206" t="str">
        <x:v>יורד אחרי 31/10 ולכן לא מופחת מהתזרים</x:v>
      </x:c>
      <x:c r="T10" s="269" t="str">
        <x:v>מקור רשמי</x:v>
      </x:c>
      <x:c r="U10" s="269" t="str">
        <x:v>https://www.gov.il/he/service/reporting-or-payment-of-vat-reports</x:v>
      </x:c>
    </x:row>
    <x:row r="11" ht="28" customHeight="1">
      <x:c r="A11" s="367" t="str">
        <x:v>46249</x:v>
      </x:c>
      <x:c r="B11" s="368" t="str">
        <x:v>אוגוסט</x:v>
      </x:c>
      <x:c r="C11" s="368" t="str">
        <x:v>הכנסה</x:v>
      </x:c>
      <x:c r="D11" s="368" t="str">
        <x:v>אדר 26</x:v>
      </x:c>
      <x:c r="E11" s="368" t="str">
        <x:v>תשלום ראשון לפרויקט</x:v>
      </x:c>
      <x:c r="F11" s="368"/>
      <x:c r="G11" s="369" t="str">
        <x:v>30420</x:v>
      </x:c>
      <x:c r="H11" s="368" t="str">
        <x:v>ILS</x:v>
      </x:c>
      <x:c r="I11" s="370" t="str">
        <x:v>30420</x:v>
      </x:c>
      <x:c r="J11" s="368" t="str">
        <x:v>מאושר</x:v>
      </x:c>
      <x:c r="K11" s="370" t="n">
        <x:f>K10+IF(I11="",0,IF(C11="הכנסה",I11,-I11))</x:f>
        <x:v>46254</x:v>
      </x:c>
      <x:c r="L11" s="368" t="str">
        <x:v>נמסר על ידי המשתמש</x:v>
      </x:c>
      <x:c r="M11" s="140"/>
      <x:c r="N11" s="206" t="str">
        <x:v>02/11/2026</x:v>
      </x:c>
      <x:c r="O11" s="206" t="str">
        <x:v>OPENAI</x:v>
      </x:c>
      <x:c r="P11" s="206" t="str">
        <x:v>שירות OpenAI – חיוב אוקטובר</x:v>
      </x:c>
      <x:c r="Q11" s="206" t="str">
        <x:v>$10 / ₪30.85</x:v>
      </x:c>
      <x:c r="R11" s="206" t="str">
        <x:v>יורד אחרי 31/10 ולכן לא מופחת מהתזרים</x:v>
      </x:c>
      <x:c r="T11" s="269" t="str">
        <x:v>מקור לשיעור 18%</x:v>
      </x:c>
      <x:c r="U11" s="269" t="str">
        <x:v>https://www.gov.il/BlobFolder/dynamiccollectorresultitem/represent-info-051224-2/he/vat_represent-info-051224-2.pdf</x:v>
      </x:c>
    </x:row>
    <x:row r="12" ht="28" customHeight="1">
      <x:c r="A12" s="367" t="str">
        <x:v>46249</x:v>
      </x:c>
      <x:c r="B12" s="368" t="str">
        <x:v>אוגוסט</x:v>
      </x:c>
      <x:c r="C12" s="368" t="str">
        <x:v>הכנסה</x:v>
      </x:c>
      <x:c r="D12" s="368" t="str">
        <x:v>אלברט שמאילוב</x:v>
      </x:c>
      <x:c r="E12" s="368" t="str">
        <x:v>אחסון דף</x:v>
      </x:c>
      <x:c r="F12" s="368" t="str">
        <x:v>הוראת קבע</x:v>
      </x:c>
      <x:c r="G12" s="369" t="str">
        <x:v>94</x:v>
      </x:c>
      <x:c r="H12" s="368" t="str">
        <x:v>ILS</x:v>
      </x:c>
      <x:c r="I12" s="370" t="str">
        <x:v>94</x:v>
      </x:c>
      <x:c r="J12" s="368" t="str">
        <x:v>מאושר</x:v>
      </x:c>
      <x:c r="K12" s="370" t="n">
        <x:f>K11+IF(I12="",0,IF(C12="הכנסה",I12,-I12))</x:f>
        <x:v>46348</x:v>
      </x:c>
      <x:c r="L12" s="368" t="str">
        <x:v>נמסר על ידי המשתמש</x:v>
      </x:c>
      <x:c r="M12" s="140"/>
      <x:c r="N12" s="206" t="str">
        <x:v>02/11/2026</x:v>
      </x:c>
      <x:c r="O12" s="206" t="str">
        <x:v>Hetzner Online GmbH</x:v>
      </x:c>
      <x:c r="P12" s="206" t="str">
        <x:v>שירותי שרתים / אחסון – חיוב אוקטובר</x:v>
      </x:c>
      <x:c r="Q12" s="206" t="str">
        <x:v>€29.68 / ₪104.54</x:v>
      </x:c>
      <x:c r="R12" s="206" t="str">
        <x:v>יורד אחרי 31/10 ולכן לא מופחת מהתזרים</x:v>
      </x:c>
    </x:row>
    <x:row r="13" ht="28" customHeight="1">
      <x:c r="A13" s="367" t="str">
        <x:v>46249</x:v>
      </x:c>
      <x:c r="B13" s="368" t="str">
        <x:v>אוגוסט</x:v>
      </x:c>
      <x:c r="C13" s="368" t="str">
        <x:v>הכנסה</x:v>
      </x:c>
      <x:c r="D13" s="368" t="str">
        <x:v>מיי מומנט</x:v>
      </x:c>
      <x:c r="E13" s="368" t="str">
        <x:v>תשלום</x:v>
      </x:c>
      <x:c r="F13" s="368"/>
      <x:c r="G13" s="369" t="str">
        <x:v>558</x:v>
      </x:c>
      <x:c r="H13" s="368" t="str">
        <x:v>ILS</x:v>
      </x:c>
      <x:c r="I13" s="370" t="str">
        <x:v>558</x:v>
      </x:c>
      <x:c r="J13" s="377" t="str">
        <x:v>מאושר</x:v>
      </x:c>
      <x:c r="K13" s="370" t="n">
        <x:f>K12+IF(I13="",0,IF(C13="הכנסה",I13,-I13))</x:f>
        <x:v>46906</x:v>
      </x:c>
      <x:c r="L13" s="368" t="str">
        <x:v>נמסר על ידי המשתמש</x:v>
      </x:c>
      <x:c r="M13" s="140"/>
      <x:c r="N13" s="206" t="str">
        <x:v>02/11/2026</x:v>
      </x:c>
      <x:c r="O13" s="206" t="str">
        <x:v>PAYCALL</x:v>
      </x:c>
      <x:c r="P13" s="206" t="str">
        <x:v>שירותי טלפוניה / תקשורת – חיוב אוקטובר</x:v>
      </x:c>
      <x:c r="Q13" s="206" t="str">
        <x:v>₪93.00</x:v>
      </x:c>
      <x:c r="R13" s="206" t="str">
        <x:v>יורד אחרי 31/10 ולכן לא מופחת מהתזרים</x:v>
      </x:c>
      <x:c r="T13" s="334" t="str">
        <x:v>בדיקת עדכונים אחרונים</x:v>
      </x:c>
      <x:c r="U13" s="334" t="str"/>
      <x:c r="V13" s="334" t="str"/>
      <x:c r="W13" s="334" t="str"/>
      <x:c r="X13" s="334" t="str"/>
      <x:c r="Y13" s="334" t="str"/>
    </x:row>
    <x:row r="14" ht="28" customHeight="1">
      <x:c r="A14" s="372" t="str">
        <x:v>46249</x:v>
      </x:c>
      <x:c r="B14" s="373" t="str">
        <x:v>אוגוסט</x:v>
      </x:c>
      <x:c r="C14" s="373" t="str">
        <x:v>הוצאה</x:v>
      </x:c>
      <x:c r="D14" s="373" t="str">
        <x:v>מיסים נוספים</x:v>
      </x:c>
      <x:c r="E14" s="373" t="str">
        <x:v>מיסים נוספים – לא כולל מע״מ משוער</x:v>
      </x:c>
      <x:c r="F14" s="373" t="str">
        <x:v>העברה בנקאית</x:v>
      </x:c>
      <x:c r="G14" s="374"/>
      <x:c r="H14" s="373" t="str">
        <x:v>ILS</x:v>
      </x:c>
      <x:c r="I14" s="396"/>
      <x:c r="J14" s="383" t="str">
        <x:v>חסר סכום</x:v>
      </x:c>
      <x:c r="K14" s="375" t="n">
        <x:f>K13+IF(I14="",0,IF(C14="הכנסה",I14,-I14))</x:f>
        <x:v>46906</x:v>
      </x:c>
      <x:c r="L14" s="373" t="str">
        <x:v>סכום עדיין חסר; המע״מ המשוער מחושב בנפרד ומופיע בשורה ייעודית</x:v>
      </x:c>
      <x:c r="M14" s="140"/>
      <x:c r="N14" s="206" t="str">
        <x:v>02/11/2026</x:v>
      </x:c>
      <x:c r="O14" s="206" t="str">
        <x:v>אס.פי.די</x:v>
      </x:c>
      <x:c r="P14" s="206" t="str">
        <x:v>שירות חודשי – חיוב אוקטובר</x:v>
      </x:c>
      <x:c r="Q14" s="206" t="str">
        <x:v>₪74.62</x:v>
      </x:c>
      <x:c r="R14" s="206" t="str">
        <x:v>יורד אחרי 31/10 ולכן לא מופחת מהתזרים</x:v>
      </x:c>
      <x:c r="T14" s="339" t="str">
        <x:v>סעיף</x:v>
      </x:c>
      <x:c r="U14" s="339" t="str">
        <x:v>חודש שיוך</x:v>
      </x:c>
      <x:c r="V14" s="339" t="str">
        <x:v>ירידה בפועל מהבנק</x:v>
      </x:c>
      <x:c r="W14" s="339" t="str">
        <x:v>סכום ₪</x:v>
      </x:c>
      <x:c r="X14" s="339" t="str">
        <x:v>אופן תשלום</x:v>
      </x:c>
      <x:c r="Y14" s="339" t="str">
        <x:v>סטטוס</x:v>
      </x:c>
    </x:row>
    <x:row r="15" ht="28" customHeight="1">
      <x:c r="A15" s="367" t="str">
        <x:v>46254</x:v>
      </x:c>
      <x:c r="B15" s="368" t="str">
        <x:v>אוגוסט</x:v>
      </x:c>
      <x:c r="C15" s="368" t="str">
        <x:v>הכנסה</x:v>
      </x:c>
      <x:c r="D15" s="368" t="str">
        <x:v>איציק לוי</x:v>
      </x:c>
      <x:c r="E15" s="368" t="str">
        <x:v>מערכת מוסכים</x:v>
      </x:c>
      <x:c r="F15" s="368"/>
      <x:c r="G15" s="369" t="str">
        <x:v>399</x:v>
      </x:c>
      <x:c r="H15" s="368" t="str">
        <x:v>ILS</x:v>
      </x:c>
      <x:c r="I15" s="370" t="str">
        <x:v>399</x:v>
      </x:c>
      <x:c r="J15" s="368" t="str">
        <x:v>מאושר</x:v>
      </x:c>
      <x:c r="K15" s="370" t="n">
        <x:f>K14+IF(I15="",0,IF(C15="הכנסה",I15,-I15))</x:f>
        <x:v>47305</x:v>
      </x:c>
      <x:c r="L15" s="368" t="str">
        <x:v>נמסר על ידי המשתמש</x:v>
      </x:c>
      <x:c r="M15" s="140"/>
      <x:c r="N15" s="206" t="str">
        <x:v>02/11/2026</x:v>
      </x:c>
      <x:c r="O15" s="206" t="str">
        <x:v>SUNO INC.</x:v>
      </x:c>
      <x:c r="P15" s="206" t="str">
        <x:v>שירות SUNO – חיוב אוקטובר</x:v>
      </x:c>
      <x:c r="Q15" s="206" t="str">
        <x:v>$10 / ₪30.86</x:v>
      </x:c>
      <x:c r="R15" s="206" t="str">
        <x:v>יורד אחרי 31/10 ולכן לא מופחת מהתזרים</x:v>
      </x:c>
      <x:c r="T15" s="340" t="str">
        <x:v>אבי אללוף – משכורת 5 צרפתי</x:v>
      </x:c>
      <x:c r="U15" s="340" t="str">
        <x:v>אוגוסט</x:v>
      </x:c>
      <x:c r="V15" s="340" t="str">
        <x:v>10/08/2026</x:v>
      </x:c>
      <x:c r="W15" s="341" t="n">
        <x:v>7670</x:v>
      </x:c>
      <x:c r="X15" s="340" t="str">
        <x:v>העברה בנקאית</x:v>
      </x:c>
      <x:c r="Y15" s="340" t="str">
        <x:v>נוסף</x:v>
      </x:c>
    </x:row>
    <x:row r="16" ht="28" customHeight="1">
      <x:c r="A16" s="367" t="str">
        <x:v>46255</x:v>
      </x:c>
      <x:c r="B16" s="368" t="str">
        <x:v>אוגוסט</x:v>
      </x:c>
      <x:c r="C16" s="368" t="str">
        <x:v>הכנסה</x:v>
      </x:c>
      <x:c r="D16" s="368" t="str">
        <x:v>Mascot</x:v>
      </x:c>
      <x:c r="E16" s="368" t="str">
        <x:v>אחסון אתר לפי הצעה 33484</x:v>
      </x:c>
      <x:c r="F16" s="368" t="str">
        <x:v>הוראת קבע</x:v>
      </x:c>
      <x:c r="G16" s="369" t="str">
        <x:v>49</x:v>
      </x:c>
      <x:c r="H16" s="368" t="str">
        <x:v>ILS</x:v>
      </x:c>
      <x:c r="I16" s="370" t="str">
        <x:v>49</x:v>
      </x:c>
      <x:c r="J16" s="368" t="str">
        <x:v>מאושר</x:v>
      </x:c>
      <x:c r="K16" s="370" t="n">
        <x:f>K15+IF(I16="",0,IF(C16="הכנסה",I16,-I16))</x:f>
        <x:v>47354</x:v>
      </x:c>
      <x:c r="L16" s="368" t="str">
        <x:v>נמסר על ידי המשתמש</x:v>
      </x:c>
      <x:c r="M16" s="140"/>
      <x:c r="N16" s="206" t="str">
        <x:v>02/11/2026</x:v>
      </x:c>
      <x:c r="O16" s="206" t="str">
        <x:v>CLOUDFLARE</x:v>
      </x:c>
      <x:c r="P16" s="206" t="str">
        <x:v>שירות Cloudflare – חיוב אוקטובר</x:v>
      </x:c>
      <x:c r="Q16" s="206" t="str">
        <x:v>$25 / ₪77.15</x:v>
      </x:c>
      <x:c r="R16" s="206" t="str">
        <x:v>יורד אחרי 31/10 ולכן לא מופחת מהתזרים</x:v>
      </x:c>
      <x:c r="T16" s="340" t="str">
        <x:v>יונתן דובאי – משכורת צרפתי</x:v>
      </x:c>
      <x:c r="U16" s="340" t="str">
        <x:v>אוגוסט</x:v>
      </x:c>
      <x:c r="V16" s="340" t="str">
        <x:v>02/09/2026</x:v>
      </x:c>
      <x:c r="W16" s="341" t="n">
        <x:v>5000</x:v>
      </x:c>
      <x:c r="X16" s="340" t="str">
        <x:v>אשראי</x:v>
      </x:c>
      <x:c r="Y16" s="340" t="str">
        <x:v>נוסף</x:v>
      </x:c>
    </x:row>
    <x:row r="17" ht="28" customHeight="1">
      <x:c r="A17" s="367" t="str">
        <x:v>46259</x:v>
      </x:c>
      <x:c r="B17" s="368" t="str">
        <x:v>אוגוסט</x:v>
      </x:c>
      <x:c r="C17" s="368" t="str">
        <x:v>הכנסה</x:v>
      </x:c>
      <x:c r="D17" s="368" t="str">
        <x:v>רחמים רם</x:v>
      </x:c>
      <x:c r="E17" s="368" t="str">
        <x:v>תשלום</x:v>
      </x:c>
      <x:c r="F17" s="368"/>
      <x:c r="G17" s="369" t="str">
        <x:v>4000</x:v>
      </x:c>
      <x:c r="H17" s="368" t="str">
        <x:v>ILS</x:v>
      </x:c>
      <x:c r="I17" s="370" t="str">
        <x:v>4000</x:v>
      </x:c>
      <x:c r="J17" s="368" t="str">
        <x:v>מאושר</x:v>
      </x:c>
      <x:c r="K17" s="370" t="n">
        <x:f>K16+IF(I17="",0,IF(C17="הכנסה",I17,-I17))</x:f>
        <x:v>51354</x:v>
      </x:c>
      <x:c r="L17" s="368" t="str">
        <x:v>נמסר על ידי המשתמש</x:v>
      </x:c>
      <x:c r="M17" s="140"/>
      <x:c r="N17" s="206" t="str">
        <x:v>02/11/2026</x:v>
      </x:c>
      <x:c r="O17" s="206" t="str">
        <x:v>Google Workspace_hub.co.il</x:v>
      </x:c>
      <x:c r="P17" s="206" t="str">
        <x:v>Google Workspace – חיוב אוקטובר</x:v>
      </x:c>
      <x:c r="Q17" s="206" t="str">
        <x:v>₪176.40</x:v>
      </x:c>
      <x:c r="R17" s="206" t="str">
        <x:v>יורד אחרי 31/10 ולכן לא מופחת מהתזרים</x:v>
      </x:c>
      <x:c r="T17" s="340" t="str">
        <x:v>Google One – חיוב אוגוסט</x:v>
      </x:c>
      <x:c r="U17" s="340" t="str">
        <x:v>אוגוסט</x:v>
      </x:c>
      <x:c r="V17" s="340" t="str">
        <x:v>02/09/2026</x:v>
      </x:c>
      <x:c r="W17" s="341" t="n">
        <x:v>750</x:v>
      </x:c>
      <x:c r="X17" s="340" t="str">
        <x:v>אשראי</x:v>
      </x:c>
      <x:c r="Y17" s="340" t="str">
        <x:v>נוסף</x:v>
      </x:c>
    </x:row>
    <x:row r="18" ht="28" customHeight="1">
      <x:c r="A18" s="367" t="str">
        <x:v>46259</x:v>
      </x:c>
      <x:c r="B18" s="368" t="str">
        <x:v>אוגוסט</x:v>
      </x:c>
      <x:c r="C18" s="368" t="str">
        <x:v>הכנסה</x:v>
      </x:c>
      <x:c r="D18" s="368" t="str">
        <x:v>ההתאחדות לריקוד</x:v>
      </x:c>
      <x:c r="E18" s="368" t="str">
        <x:v>תשלום</x:v>
      </x:c>
      <x:c r="F18" s="368"/>
      <x:c r="G18" s="369" t="str">
        <x:v>977</x:v>
      </x:c>
      <x:c r="H18" s="368" t="str">
        <x:v>ILS</x:v>
      </x:c>
      <x:c r="I18" s="370" t="str">
        <x:v>977</x:v>
      </x:c>
      <x:c r="J18" s="368" t="str">
        <x:v>מאושר</x:v>
      </x:c>
      <x:c r="K18" s="370" t="n">
        <x:f>K17+IF(I18="",0,IF(C18="הכנסה",I18,-I18))</x:f>
        <x:v>52331</x:v>
      </x:c>
      <x:c r="L18" s="368" t="str">
        <x:v>נמסר על ידי המשתמש</x:v>
      </x:c>
      <x:c r="M18" s="140"/>
      <x:c r="N18" s="206" t="str">
        <x:v>02/11/2026</x:v>
      </x:c>
      <x:c r="O18" s="206" t="str">
        <x:v>XCLOUD HOSTING, LLC</x:v>
      </x:c>
      <x:c r="P18" s="206" t="str">
        <x:v>שירותי אחסון / שרתים – חיוב אוקטובר</x:v>
      </x:c>
      <x:c r="Q18" s="206" t="str">
        <x:v>$5.31 / ₪16.29</x:v>
      </x:c>
      <x:c r="R18" s="206" t="str">
        <x:v>יורד אחרי 31/10 ולכן לא מופחת מהתזרים</x:v>
      </x:c>
      <x:c r="T18" s="340" t="str">
        <x:v>Google One – חיוב ספטמבר</x:v>
      </x:c>
      <x:c r="U18" s="340" t="str">
        <x:v>ספטמבר</x:v>
      </x:c>
      <x:c r="V18" s="340" t="str">
        <x:v>02/10/2026</x:v>
      </x:c>
      <x:c r="W18" s="341" t="n">
        <x:v>750</x:v>
      </x:c>
      <x:c r="X18" s="340" t="str">
        <x:v>אשראי</x:v>
      </x:c>
      <x:c r="Y18" s="340" t="str">
        <x:v>נוסף</x:v>
      </x:c>
    </x:row>
    <x:row r="19" ht="28" customHeight="1">
      <x:c r="A19" s="367" t="str">
        <x:v>46266</x:v>
      </x:c>
      <x:c r="B19" s="368" t="str">
        <x:v>ספטמבר</x:v>
      </x:c>
      <x:c r="C19" s="368" t="str">
        <x:v>הכנסה</x:v>
      </x:c>
      <x:c r="D19" s="368" t="str">
        <x:v>MSI</x:v>
      </x:c>
      <x:c r="E19" s="368" t="str">
        <x:v>תשלום 2</x:v>
      </x:c>
      <x:c r="F19" s="368"/>
      <x:c r="G19" s="369" t="str">
        <x:v>2596</x:v>
      </x:c>
      <x:c r="H19" s="368" t="str">
        <x:v>ILS</x:v>
      </x:c>
      <x:c r="I19" s="370" t="str">
        <x:v>2596</x:v>
      </x:c>
      <x:c r="J19" s="368" t="str">
        <x:v>מאושר</x:v>
      </x:c>
      <x:c r="K19" s="370" t="n">
        <x:f>K18+IF(I19="",0,IF(C19="הכנסה",I19,-I19))</x:f>
        <x:v>54927</x:v>
      </x:c>
      <x:c r="L19" s="368" t="str">
        <x:v>נמסר על ידי המשתמש</x:v>
      </x:c>
      <x:c r="M19" s="140"/>
      <x:c r="N19" s="206" t="str">
        <x:v>02/11/2026</x:v>
      </x:c>
      <x:c r="O19" s="206" t="str">
        <x:v>חשבונית ירוקה</x:v>
      </x:c>
      <x:c r="P19" s="206" t="str">
        <x:v>מערכת חשבוניות / הנהלת חשבונות – חיוב אוקטובר</x:v>
      </x:c>
      <x:c r="Q19" s="206" t="str">
        <x:v>₪97.94</x:v>
      </x:c>
      <x:c r="R19" s="206" t="str">
        <x:v>יורד אחרי 31/10 ולכן לא מופחת מהתזרים</x:v>
      </x:c>
      <x:c r="T19" s="340" t="str">
        <x:v>Cursor / אדר 26 – טוקנים ספטמבר</x:v>
      </x:c>
      <x:c r="U19" s="340" t="str">
        <x:v>ספטמבר</x:v>
      </x:c>
      <x:c r="V19" s="340" t="str">
        <x:v>02/10/2026</x:v>
      </x:c>
      <x:c r="W19" s="341" t="n">
        <x:v>2500</x:v>
      </x:c>
      <x:c r="X19" s="340" t="str">
        <x:v>אשראי</x:v>
      </x:c>
      <x:c r="Y19" s="340" t="str">
        <x:v>נוסף</x:v>
      </x:c>
    </x:row>
    <x:row r="20" ht="28" customHeight="1">
      <x:c r="A20" s="367" t="str">
        <x:v>46266</x:v>
      </x:c>
      <x:c r="B20" s="368" t="str">
        <x:v>ספטמבר</x:v>
      </x:c>
      <x:c r="C20" s="368" t="str">
        <x:v>הכנסה</x:v>
      </x:c>
      <x:c r="D20" s="368" t="str">
        <x:v>DN TRADE</x:v>
      </x:c>
      <x:c r="E20" s="368" t="str">
        <x:v>תשלום חודשי</x:v>
      </x:c>
      <x:c r="F20" s="368" t="str">
        <x:v>הוראת קבע</x:v>
      </x:c>
      <x:c r="G20" s="369" t="str">
        <x:v>199</x:v>
      </x:c>
      <x:c r="H20" s="368" t="str">
        <x:v>ILS</x:v>
      </x:c>
      <x:c r="I20" s="370" t="str">
        <x:v>199</x:v>
      </x:c>
      <x:c r="J20" s="368" t="str">
        <x:v>מאושר</x:v>
      </x:c>
      <x:c r="K20" s="370" t="n">
        <x:f>K19+IF(I20="",0,IF(C20="הכנסה",I20,-I20))</x:f>
        <x:v>55126</x:v>
      </x:c>
      <x:c r="L20" s="368" t="str">
        <x:v>נמסר על ידי המשתמש</x:v>
      </x:c>
      <x:c r="M20" s="140"/>
      <x:c r="N20" s="206" t="str">
        <x:v>02/11/2026</x:v>
      </x:c>
      <x:c r="O20" s="206" t="str">
        <x:v>Cursor / אדר 26</x:v>
      </x:c>
      <x:c r="P20" s="206" t="str">
        <x:v>טוקנים – פרויקט אדר 26 – חודש אוקטובר</x:v>
      </x:c>
      <x:c r="Q20" s="206" t="str">
        <x:v>₪2,500.00</x:v>
      </x:c>
      <x:c r="R20" s="206" t="str">
        <x:v>חיוב אשראי של אוקטובר; יורד אחרי 31/10 ולכן אינו מופחת מיתרת 31.10</x:v>
      </x:c>
      <x:c r="T20" s="342" t="str">
        <x:v>Google One – חיוב אוקטובר</x:v>
      </x:c>
      <x:c r="U20" s="342" t="str">
        <x:v>אוקטובר</x:v>
      </x:c>
      <x:c r="V20" s="342" t="str">
        <x:v>02/11/2026</x:v>
      </x:c>
      <x:c r="W20" s="343" t="n">
        <x:v>750</x:v>
      </x:c>
      <x:c r="X20" s="342" t="str">
        <x:v>אשראי</x:v>
      </x:c>
      <x:c r="Y20" s="342" t="str">
        <x:v>מחוץ לתקופה</x:v>
      </x:c>
    </x:row>
    <x:row r="21" ht="28" customHeight="1">
      <x:c r="A21" s="367" t="str">
        <x:v>46266</x:v>
      </x:c>
      <x:c r="B21" s="368" t="str">
        <x:v>ספטמבר</x:v>
      </x:c>
      <x:c r="C21" s="368" t="str">
        <x:v>הכנסה</x:v>
      </x:c>
      <x:c r="D21" s="368" t="str">
        <x:v>יבואני הממתקים ב.מ. בע״מ</x:v>
      </x:c>
      <x:c r="E21" s="368" t="str">
        <x:v>אחסון, תמיכה וגיבויים חודשיים ל־4 אתרים</x:v>
      </x:c>
      <x:c r="F21" s="368" t="str">
        <x:v>הוראת קבע</x:v>
      </x:c>
      <x:c r="G21" s="369" t="str">
        <x:v>247.8</x:v>
      </x:c>
      <x:c r="H21" s="368" t="str">
        <x:v>ILS</x:v>
      </x:c>
      <x:c r="I21" s="370" t="str">
        <x:v>247.8</x:v>
      </x:c>
      <x:c r="J21" s="368" t="str">
        <x:v>מאושר</x:v>
      </x:c>
      <x:c r="K21" s="370" t="n">
        <x:f>K20+IF(I21="",0,IF(C21="הכנסה",I21,-I21))</x:f>
        <x:v>55373.8</x:v>
      </x:c>
      <x:c r="L21" s="368" t="str">
        <x:v>נמסר על ידי המשתמש</x:v>
      </x:c>
      <x:c r="M21" s="140"/>
      <x:c r="N21" s="206" t="str">
        <x:v>02/11/2026</x:v>
      </x:c>
      <x:c r="O21" s="206" t="str">
        <x:v>Google One</x:v>
      </x:c>
      <x:c r="P21" s="206" t="str">
        <x:v>שירות חודשי – חודש אוקטובר</x:v>
      </x:c>
      <x:c r="Q21" s="206" t="str">
        <x:v>₪750.00</x:v>
      </x:c>
      <x:c r="R21" s="206" t="str">
        <x:v>חיוב אשראי של אוקטובר; יורד אחרי 31/10</x:v>
      </x:c>
      <x:c r="T21" s="342" t="str">
        <x:v>Cursor / אדר 26 – טוקנים אוקטובר</x:v>
      </x:c>
      <x:c r="U21" s="342" t="str">
        <x:v>אוקטובר</x:v>
      </x:c>
      <x:c r="V21" s="342" t="str">
        <x:v>02/11/2026</x:v>
      </x:c>
      <x:c r="W21" s="343" t="n">
        <x:v>2500</x:v>
      </x:c>
      <x:c r="X21" s="342" t="str">
        <x:v>אשראי</x:v>
      </x:c>
      <x:c r="Y21" s="342" t="str">
        <x:v>מחוץ לתקופה</x:v>
      </x:c>
    </x:row>
    <x:row r="22" ht="28" customHeight="1">
      <x:c r="A22" s="372" t="str">
        <x:v>46266</x:v>
      </x:c>
      <x:c r="B22" s="373" t="str">
        <x:v>ספטמבר</x:v>
      </x:c>
      <x:c r="C22" s="373" t="str">
        <x:v>הוצאה</x:v>
      </x:c>
      <x:c r="D22" s="373" t="str">
        <x:v>יובל שכטר</x:v>
      </x:c>
      <x:c r="E22" s="373" t="str">
        <x:v>רואה חשבון – שירות חודשי</x:v>
      </x:c>
      <x:c r="F22" s="373" t="str">
        <x:v>הוראת קבע בנקאית</x:v>
      </x:c>
      <x:c r="G22" s="374" t="str">
        <x:v>1755</x:v>
      </x:c>
      <x:c r="H22" s="373" t="str">
        <x:v>ILS</x:v>
      </x:c>
      <x:c r="I22" s="375" t="str">
        <x:v>1755</x:v>
      </x:c>
      <x:c r="J22" s="373" t="str">
        <x:v>מאושר</x:v>
      </x:c>
      <x:c r="K22" s="375" t="n">
        <x:f>K21+IF(I22="",0,IF(C22="הכנסה",I22,-I22))</x:f>
        <x:v>53618.8</x:v>
      </x:c>
      <x:c r="L22" s="373" t="str">
        <x:v>הוראת קבע בנקאית בכל 1 לחודש; חיוב 01.08 כבר מגולם ביתרת הפתיחה ל־09.08</x:v>
      </x:c>
      <x:c r="M22" s="140"/>
      <x:c r="N22" s="206" t="str">
        <x:v>15/11/2026</x:v>
      </x:c>
      <x:c r="O22" s="206" t="str">
        <x:v>מע״מ משוער</x:v>
      </x:c>
      <x:c r="P22" s="206" t="str">
        <x:v>מע״מ עבור פעילות אוקטובר 2026</x:v>
      </x:c>
      <x:c r="Q22" s="206" t="n">
        <x:v>5083.74</x:v>
      </x:c>
      <x:c r="R22" s="206" t="str">
        <x:v>אומדן לפי 18% פחות מס תשומות ידוע; מחוץ לתקופת התזרים</x:v>
      </x:c>
    </x:row>
    <x:row r="23" ht="28" customHeight="1">
      <x:c r="A23" s="372" t="str">
        <x:v>46267</x:v>
      </x:c>
      <x:c r="B23" s="373" t="str">
        <x:v>ספטמבר</x:v>
      </x:c>
      <x:c r="C23" s="373" t="str">
        <x:v>הוצאה</x:v>
      </x:c>
      <x:c r="D23" s="373" t="str">
        <x:v>Cursor</x:v>
      </x:c>
      <x:c r="E23" s="373" t="str">
        <x:v>מנוי חודשי – חיוב אוגוסט</x:v>
      </x:c>
      <x:c r="F23" s="373" t="str">
        <x:v>אשראי</x:v>
      </x:c>
      <x:c r="G23" s="374" t="str">
        <x:v>120</x:v>
      </x:c>
      <x:c r="H23" s="373" t="str">
        <x:v>USD</x:v>
      </x:c>
      <x:c r="I23" s="375" t="str">
        <x:v>359.98</x:v>
      </x:c>
      <x:c r="J23" s="373" t="str">
        <x:v>אומדן מט״ח</x:v>
      </x:c>
      <x:c r="K23" s="375" t="n">
        <x:f>K22+IF(I23="",0,IF(C23="הכנסה",I23,-I23))</x:f>
        <x:v>53258.82</x:v>
      </x:c>
      <x:c r="L23" s="373" t="str">
        <x:v>120$ לפי שער משוער 2.99983 ₪/$; הסליקה בפועל עשויה להשתנות</x:v>
      </x:c>
      <x:c r="M23" s="140"/>
      <x:c r="N23" s="206"/>
      <x:c r="O23" s="206"/>
      <x:c r="P23" s="206"/>
      <x:c r="Q23" s="206"/>
      <x:c r="R23" s="206"/>
      <x:c r="T23" s="347" t="str">
        <x:v>הערת מע״מ</x:v>
      </x:c>
      <x:c r="U23" s="347" t="str"/>
      <x:c r="V23" s="347" t="str"/>
      <x:c r="W23" s="347" t="str"/>
      <x:c r="X23" s="347" t="str"/>
      <x:c r="Y23" s="347" t="str"/>
    </x:row>
    <x:row r="24" ht="28" customHeight="1">
      <x:c r="A24" s="372" t="str">
        <x:v>46267</x:v>
      </x:c>
      <x:c r="B24" s="373" t="str">
        <x:v>ספטמבר</x:v>
      </x:c>
      <x:c r="C24" s="373" t="str">
        <x:v>הוצאה</x:v>
      </x:c>
      <x:c r="D24" s="373" t="str">
        <x:v>Cursor</x:v>
      </x:c>
      <x:c r="E24" s="373" t="str">
        <x:v>טוקנים נוספים – אוגוסט</x:v>
      </x:c>
      <x:c r="F24" s="373" t="str">
        <x:v>אשראי</x:v>
      </x:c>
      <x:c r="G24" s="374" t="str">
        <x:v>1697</x:v>
      </x:c>
      <x:c r="H24" s="373" t="str">
        <x:v>ILS</x:v>
      </x:c>
      <x:c r="I24" s="375" t="str">
        <x:v>1697</x:v>
      </x:c>
      <x:c r="J24" s="373" t="str">
        <x:v>מאושר</x:v>
      </x:c>
      <x:c r="K24" s="375" t="n">
        <x:f>K23+IF(I24="",0,IF(C24="הכנסה",I24,-I24))</x:f>
        <x:v>51561.82</x:v>
      </x:c>
      <x:c r="L24" s="373" t="str">
        <x:v>נמסר על ידי המשתמש</x:v>
      </x:c>
      <x:c r="M24" s="140"/>
      <x:c r="N24" s="206"/>
      <x:c r="O24" s="206"/>
      <x:c r="P24" s="206"/>
      <x:c r="Q24" s="206"/>
      <x:c r="R24" s="206"/>
      <x:c r="T24" s="352" t="str">
        <x:v>שיעור</x:v>
      </x:c>
      <x:c r="U24" s="352" t="str">
        <x:v>18%</x:v>
      </x:c>
      <x:c r="V24" s="352" t="str">
        <x:v>מועד דיווח</x:v>
      </x:c>
      <x:c r="W24" s="352" t="str">
        <x:v>15 לחודש</x:v>
      </x:c>
      <x:c r="X24" s="352" t="str">
        <x:v>סוג החישוב</x:v>
      </x:c>
      <x:c r="Y24" s="352" t="str">
        <x:v>אומדן בלבד</x:v>
      </x:c>
    </x:row>
    <x:row r="25" ht="28" customHeight="1">
      <x:c r="A25" s="372" t="str">
        <x:v>46267</x:v>
      </x:c>
      <x:c r="B25" s="373" t="str">
        <x:v>ספטמבר</x:v>
      </x:c>
      <x:c r="C25" s="373" t="str">
        <x:v>הוצאה</x:v>
      </x:c>
      <x:c r="D25" s="373" t="str">
        <x:v>טלזר 019 שירותי תקשורת בינלאומיים</x:v>
      </x:c>
      <x:c r="E25" s="373" t="str">
        <x:v>שירותי תקשורת</x:v>
      </x:c>
      <x:c r="F25" s="373" t="str">
        <x:v>אשראי</x:v>
      </x:c>
      <x:c r="G25" s="374" t="str">
        <x:v>124.5</x:v>
      </x:c>
      <x:c r="H25" s="373" t="str">
        <x:v>ILS</x:v>
      </x:c>
      <x:c r="I25" s="375" t="str">
        <x:v>124.5</x:v>
      </x:c>
      <x:c r="J25" s="373" t="str">
        <x:v>מאושר</x:v>
      </x:c>
      <x:c r="K25" s="375" t="n">
        <x:f>K24+IF(I25="",0,IF(C25="הכנסה",I25,-I25))</x:f>
        <x:v>51437.32</x:v>
      </x:c>
      <x:c r="L25" s="373" t="str">
        <x:v>חיוב חודשי; שירות אוגוסט יורד בכרטיס ב־02.09</x:v>
      </x:c>
      <x:c r="M25" s="140"/>
      <x:c r="N25" s="206"/>
      <x:c r="O25" s="206"/>
      <x:c r="P25" s="206"/>
      <x:c r="Q25" s="206"/>
      <x:c r="R25" s="206"/>
      <x:c r="T25" s="352" t="str">
        <x:v>הנחה</x:v>
      </x:c>
      <x:c r="U25" s="352" t="str">
        <x:v>ההכנסות שסופקו הונחו כסכומים כולל מע״מ; קוזזו רק תשומות ידועות/מוערכות.</x:v>
      </x:c>
      <x:c r="V25" s="352" t="str"/>
      <x:c r="W25" s="352" t="str"/>
      <x:c r="X25" s="352" t="str"/>
      <x:c r="Y25" s="352" t="str"/>
    </x:row>
    <x:row r="26" ht="28" customHeight="1">
      <x:c r="A26" s="372" t="str">
        <x:v>46267</x:v>
      </x:c>
      <x:c r="B26" s="373" t="str">
        <x:v>ספטמבר</x:v>
      </x:c>
      <x:c r="C26" s="373" t="str">
        <x:v>הוצאה</x:v>
      </x:c>
      <x:c r="D26" s="373" t="str">
        <x:v>GREEN-API</x:v>
      </x:c>
      <x:c r="E26" s="373" t="str">
        <x:v>שירות API חודשי</x:v>
      </x:c>
      <x:c r="F26" s="373" t="str">
        <x:v>אשראי</x:v>
      </x:c>
      <x:c r="G26" s="374" t="str">
        <x:v>12</x:v>
      </x:c>
      <x:c r="H26" s="373" t="str">
        <x:v>USD</x:v>
      </x:c>
      <x:c r="I26" s="375" t="str">
        <x:v>37.7</x:v>
      </x:c>
      <x:c r="J26" s="373" t="str">
        <x:v>מאושר</x:v>
      </x:c>
      <x:c r="K26" s="375" t="n">
        <x:f>K25+IF(I26="",0,IF(C26="הכנסה",I26,-I26))</x:f>
        <x:v>51399.62</x:v>
      </x:c>
      <x:c r="L26" s="373" t="str">
        <x:v>$12 = ₪37.70 כפי שנמסר; חיוב אוגוסט יורד בכרטיס ב־02.09</x:v>
      </x:c>
      <x:c r="M26" s="140"/>
      <x:c r="N26" s="206"/>
      <x:c r="O26" s="206"/>
      <x:c r="P26" s="206"/>
      <x:c r="Q26" s="206"/>
      <x:c r="R26" s="206"/>
      <x:c r="T26" s="352" t="str">
        <x:v>חשוב</x:v>
      </x:c>
      <x:c r="U26" s="352" t="str">
        <x:v>החישוב מניח דיווח חודשי. אם תיק המע״מ של החברה מדווח דו־חודשי, יש לאחד את התקופות בהתאם.</x:v>
      </x:c>
      <x:c r="V26" s="352" t="str"/>
      <x:c r="W26" s="352" t="str"/>
      <x:c r="X26" s="352" t="str"/>
      <x:c r="Y26" s="352" t="str"/>
    </x:row>
    <x:row r="27" ht="28" customHeight="1">
      <x:c r="A27" s="372" t="str">
        <x:v>46267</x:v>
      </x:c>
      <x:c r="B27" s="373" t="str">
        <x:v>ספטמבר</x:v>
      </x:c>
      <x:c r="C27" s="373" t="str">
        <x:v>הוצאה</x:v>
      </x:c>
      <x:c r="D27" s="373" t="str">
        <x:v>OPENAI</x:v>
      </x:c>
      <x:c r="E27" s="373" t="str">
        <x:v>שירות OpenAI חודשי</x:v>
      </x:c>
      <x:c r="F27" s="373" t="str">
        <x:v>אשראי</x:v>
      </x:c>
      <x:c r="G27" s="374" t="str">
        <x:v>10</x:v>
      </x:c>
      <x:c r="H27" s="373" t="str">
        <x:v>USD</x:v>
      </x:c>
      <x:c r="I27" s="375" t="str">
        <x:v>30.85</x:v>
      </x:c>
      <x:c r="J27" s="373" t="str">
        <x:v>מאושר</x:v>
      </x:c>
      <x:c r="K27" s="375" t="n">
        <x:f>K26+IF(I27="",0,IF(C27="הכנסה",I27,-I27))</x:f>
        <x:v>51368.770000000004</x:v>
      </x:c>
      <x:c r="L27" s="373" t="str">
        <x:v>$10 = ₪30.85 כפי שנמסר; חיוב אוגוסט יורד בכרטיס ב־02.09</x:v>
      </x:c>
      <x:c r="M27" s="140"/>
      <x:c r="N27" s="206"/>
      <x:c r="O27" s="206"/>
      <x:c r="P27" s="206"/>
      <x:c r="Q27" s="206"/>
      <x:c r="R27" s="206"/>
    </x:row>
    <x:row r="28" ht="28" customHeight="1">
      <x:c r="A28" s="372" t="str">
        <x:v>46267</x:v>
      </x:c>
      <x:c r="B28" s="373" t="str">
        <x:v>ספטמבר</x:v>
      </x:c>
      <x:c r="C28" s="373" t="str">
        <x:v>הוצאה</x:v>
      </x:c>
      <x:c r="D28" s="373" t="str">
        <x:v>Hetzner Online GmbH</x:v>
      </x:c>
      <x:c r="E28" s="373" t="str">
        <x:v>שירותי שרתים / אחסון</x:v>
      </x:c>
      <x:c r="F28" s="373" t="str">
        <x:v>אשראי</x:v>
      </x:c>
      <x:c r="G28" s="374" t="str">
        <x:v>29.68</x:v>
      </x:c>
      <x:c r="H28" s="373" t="str">
        <x:v>EUR</x:v>
      </x:c>
      <x:c r="I28" s="375" t="str">
        <x:v>104.54</x:v>
      </x:c>
      <x:c r="J28" s="373" t="str">
        <x:v>מאושר</x:v>
      </x:c>
      <x:c r="K28" s="375" t="n">
        <x:f>K27+IF(I28="",0,IF(C28="הכנסה",I28,-I28))</x:f>
        <x:v>51264.23</x:v>
      </x:c>
      <x:c r="L28" s="373" t="str">
        <x:v>€29.68 = ₪104.54 כפי שנמסר; חיוב אוגוסט יורד בכרטיס ב־02.09</x:v>
      </x:c>
      <x:c r="M28" s="140"/>
      <x:c r="N28" s="206"/>
      <x:c r="O28" s="206"/>
      <x:c r="P28" s="206"/>
      <x:c r="Q28" s="206"/>
      <x:c r="R28" s="206"/>
    </x:row>
    <x:row r="29" ht="28" customHeight="1">
      <x:c r="A29" s="372" t="str">
        <x:v>46267</x:v>
      </x:c>
      <x:c r="B29" s="373" t="str">
        <x:v>ספטמבר</x:v>
      </x:c>
      <x:c r="C29" s="373" t="str">
        <x:v>הוצאה</x:v>
      </x:c>
      <x:c r="D29" s="373" t="str">
        <x:v>PAYCALL</x:v>
      </x:c>
      <x:c r="E29" s="373" t="str">
        <x:v>שירותי טלפוניה / תקשורת</x:v>
      </x:c>
      <x:c r="F29" s="373" t="str">
        <x:v>אשראי</x:v>
      </x:c>
      <x:c r="G29" s="374" t="str">
        <x:v>93</x:v>
      </x:c>
      <x:c r="H29" s="373" t="str">
        <x:v>ILS</x:v>
      </x:c>
      <x:c r="I29" s="375" t="str">
        <x:v>93</x:v>
      </x:c>
      <x:c r="J29" s="373" t="str">
        <x:v>מאושר</x:v>
      </x:c>
      <x:c r="K29" s="375" t="n">
        <x:f>K28+IF(I29="",0,IF(C29="הכנסה",I29,-I29))</x:f>
        <x:v>51171.23</x:v>
      </x:c>
      <x:c r="L29" s="373" t="str">
        <x:v>סה״כ לתשלום ₪93.00 (לפני מע״מ ₪78.81 + מע״מ ₪14.19); חיוב אוגוסט יורד ב־02.09</x:v>
      </x:c>
      <x:c r="M29" s="140"/>
      <x:c r="N29" s="206"/>
      <x:c r="O29" s="206"/>
      <x:c r="P29" s="206"/>
      <x:c r="Q29" s="206"/>
      <x:c r="R29" s="206"/>
    </x:row>
    <x:row r="30" ht="28" customHeight="1">
      <x:c r="A30" s="372" t="str">
        <x:v>46267</x:v>
      </x:c>
      <x:c r="B30" s="373" t="str">
        <x:v>ספטמבר</x:v>
      </x:c>
      <x:c r="C30" s="373" t="str">
        <x:v>הוצאה</x:v>
      </x:c>
      <x:c r="D30" s="373" t="str">
        <x:v>אס.פי.די</x:v>
      </x:c>
      <x:c r="E30" s="373" t="str">
        <x:v>שירות חודשי</x:v>
      </x:c>
      <x:c r="F30" s="373" t="str">
        <x:v>אשראי</x:v>
      </x:c>
      <x:c r="G30" s="374" t="str">
        <x:v>74.62</x:v>
      </x:c>
      <x:c r="H30" s="373" t="str">
        <x:v>ILS</x:v>
      </x:c>
      <x:c r="I30" s="375" t="str">
        <x:v>74.62</x:v>
      </x:c>
      <x:c r="J30" s="373" t="str">
        <x:v>מאושר</x:v>
      </x:c>
      <x:c r="K30" s="375" t="n">
        <x:f>K29+IF(I30="",0,IF(C30="הכנסה",I30,-I30))</x:f>
        <x:v>51096.61</x:v>
      </x:c>
      <x:c r="L30" s="373" t="str">
        <x:v>סה״כ לתשלום ₪74.62 (לפני מע״מ ₪63.24 + מע״מ ₪11.38); חיוב אוגוסט יורד ב־02.09</x:v>
      </x:c>
      <x:c r="M30" s="140"/>
      <x:c r="N30" s="206"/>
      <x:c r="O30" s="206"/>
      <x:c r="P30" s="206"/>
      <x:c r="Q30" s="206"/>
      <x:c r="R30" s="206"/>
    </x:row>
    <x:row r="31" ht="28" customHeight="1">
      <x:c r="A31" s="372" t="str">
        <x:v>46267</x:v>
      </x:c>
      <x:c r="B31" s="373" t="str">
        <x:v>ספטמבר</x:v>
      </x:c>
      <x:c r="C31" s="373" t="str">
        <x:v>הוצאה</x:v>
      </x:c>
      <x:c r="D31" s="373" t="str">
        <x:v>SUNO INC.</x:v>
      </x:c>
      <x:c r="E31" s="373" t="str">
        <x:v>שירות SUNO חודשי</x:v>
      </x:c>
      <x:c r="F31" s="373" t="str">
        <x:v>אשראי</x:v>
      </x:c>
      <x:c r="G31" s="374" t="str">
        <x:v>10</x:v>
      </x:c>
      <x:c r="H31" s="373" t="str">
        <x:v>USD</x:v>
      </x:c>
      <x:c r="I31" s="375" t="str">
        <x:v>30.86</x:v>
      </x:c>
      <x:c r="J31" s="373" t="str">
        <x:v>מאושר</x:v>
      </x:c>
      <x:c r="K31" s="375" t="n">
        <x:f>K30+IF(I31="",0,IF(C31="הכנסה",I31,-I31))</x:f>
        <x:v>51065.75</x:v>
      </x:c>
      <x:c r="L31" s="373" t="str">
        <x:v>$10 = ₪30.86 כפי שנמסר; חיוב אוגוסט יורד ב־02.09</x:v>
      </x:c>
      <x:c r="M31" s="140"/>
      <x:c r="N31" s="156"/>
      <x:c r="O31" s="156"/>
      <x:c r="P31" s="156"/>
      <x:c r="Q31" s="156"/>
      <x:c r="R31" s="156"/>
    </x:row>
    <x:row r="32" ht="28" customHeight="1">
      <x:c r="A32" s="372" t="str">
        <x:v>46267</x:v>
      </x:c>
      <x:c r="B32" s="373" t="str">
        <x:v>ספטמבר</x:v>
      </x:c>
      <x:c r="C32" s="373" t="str">
        <x:v>הוצאה</x:v>
      </x:c>
      <x:c r="D32" s="373" t="str">
        <x:v>CLOUDFLARE</x:v>
      </x:c>
      <x:c r="E32" s="373" t="str">
        <x:v>שירות Cloudflare חודשי</x:v>
      </x:c>
      <x:c r="F32" s="373" t="str">
        <x:v>אשראי</x:v>
      </x:c>
      <x:c r="G32" s="374" t="str">
        <x:v>25</x:v>
      </x:c>
      <x:c r="H32" s="373" t="str">
        <x:v>USD</x:v>
      </x:c>
      <x:c r="I32" s="375" t="str">
        <x:v>77.15</x:v>
      </x:c>
      <x:c r="J32" s="373" t="str">
        <x:v>מאושר</x:v>
      </x:c>
      <x:c r="K32" s="375" t="n">
        <x:f>K31+IF(I32="",0,IF(C32="הכנסה",I32,-I32))</x:f>
        <x:v>50988.6</x:v>
      </x:c>
      <x:c r="L32" s="373" t="str">
        <x:v>$25 = ₪77.15 כפי שנמסר; חיוב אוגוסט יורד ב־02.09</x:v>
      </x:c>
      <x:c r="M32" s="140"/>
      <x:c r="N32" s="156"/>
      <x:c r="O32" s="156"/>
      <x:c r="P32" s="156"/>
      <x:c r="Q32" s="156"/>
      <x:c r="R32" s="156"/>
    </x:row>
    <x:row r="33" ht="28" customHeight="1">
      <x:c r="A33" s="372" t="str">
        <x:v>46267</x:v>
      </x:c>
      <x:c r="B33" s="373" t="str">
        <x:v>ספטמבר</x:v>
      </x:c>
      <x:c r="C33" s="373" t="str">
        <x:v>הוצאה</x:v>
      </x:c>
      <x:c r="D33" s="373" t="str">
        <x:v>Google Workspace_hub.co.il</x:v>
      </x:c>
      <x:c r="E33" s="373" t="str">
        <x:v>Google Workspace – שירות חודשי</x:v>
      </x:c>
      <x:c r="F33" s="373" t="str">
        <x:v>אשראי</x:v>
      </x:c>
      <x:c r="G33" s="374" t="str">
        <x:v>176.4</x:v>
      </x:c>
      <x:c r="H33" s="373" t="str">
        <x:v>ILS</x:v>
      </x:c>
      <x:c r="I33" s="375" t="str">
        <x:v>176.4</x:v>
      </x:c>
      <x:c r="J33" s="373" t="str">
        <x:v>מאושר</x:v>
      </x:c>
      <x:c r="K33" s="375" t="n">
        <x:f>K32+IF(I33="",0,IF(C33="הכנסה",I33,-I33))</x:f>
        <x:v>50812.2</x:v>
      </x:c>
      <x:c r="L33" s="373" t="str">
        <x:v>חיוב אוגוסט יורד בכרטיס ב־02.09</x:v>
      </x:c>
      <x:c r="M33" s="140"/>
      <x:c r="N33" s="156"/>
      <x:c r="O33" s="156"/>
      <x:c r="P33" s="156"/>
      <x:c r="Q33" s="156"/>
      <x:c r="R33" s="156"/>
    </x:row>
    <x:row r="34" ht="28" customHeight="1">
      <x:c r="A34" s="372" t="str">
        <x:v>46267</x:v>
      </x:c>
      <x:c r="B34" s="373" t="str">
        <x:v>ספטמבר</x:v>
      </x:c>
      <x:c r="C34" s="373" t="str">
        <x:v>הוצאה</x:v>
      </x:c>
      <x:c r="D34" s="373" t="str">
        <x:v>XCLOUD HOSTING, LLC</x:v>
      </x:c>
      <x:c r="E34" s="373" t="str">
        <x:v>שירותי אחסון / שרתים</x:v>
      </x:c>
      <x:c r="F34" s="373" t="str">
        <x:v>אשראי</x:v>
      </x:c>
      <x:c r="G34" s="374" t="str">
        <x:v>5.31</x:v>
      </x:c>
      <x:c r="H34" s="373" t="str">
        <x:v>USD</x:v>
      </x:c>
      <x:c r="I34" s="375" t="str">
        <x:v>16.29</x:v>
      </x:c>
      <x:c r="J34" s="373" t="str">
        <x:v>מאושר</x:v>
      </x:c>
      <x:c r="K34" s="375" t="n">
        <x:f>K33+IF(I34="",0,IF(C34="הכנסה",I34,-I34))</x:f>
        <x:v>50795.909999999996</x:v>
      </x:c>
      <x:c r="L34" s="373" t="str">
        <x:v>$5.31 = ₪16.29 כפי שנמסר; חיוב אוגוסט יורד ב־02.09</x:v>
      </x:c>
      <x:c r="M34" s="140"/>
      <x:c r="N34" s="156"/>
      <x:c r="O34" s="156"/>
      <x:c r="P34" s="156"/>
      <x:c r="Q34" s="156"/>
      <x:c r="R34" s="156"/>
    </x:row>
    <x:row r="35" ht="28" customHeight="1">
      <x:c r="A35" s="372" t="str">
        <x:v>46267</x:v>
      </x:c>
      <x:c r="B35" s="373" t="str">
        <x:v>ספטמבר</x:v>
      </x:c>
      <x:c r="C35" s="373" t="str">
        <x:v>הוצאה</x:v>
      </x:c>
      <x:c r="D35" s="373" t="str">
        <x:v>חשבונית ירוקה</x:v>
      </x:c>
      <x:c r="E35" s="373" t="str">
        <x:v>מערכת חשבוניות / הנהלת חשבונות</x:v>
      </x:c>
      <x:c r="F35" s="373" t="str">
        <x:v>אשראי</x:v>
      </x:c>
      <x:c r="G35" s="374" t="str">
        <x:v>97.94</x:v>
      </x:c>
      <x:c r="H35" s="373" t="str">
        <x:v>ILS</x:v>
      </x:c>
      <x:c r="I35" s="375" t="str">
        <x:v>97.94</x:v>
      </x:c>
      <x:c r="J35" s="373" t="str">
        <x:v>מאושר</x:v>
      </x:c>
      <x:c r="K35" s="375" t="n">
        <x:f>K34+IF(I35="",0,IF(C35="הכנסה",I35,-I35))</x:f>
        <x:v>50697.969999999994</x:v>
      </x:c>
      <x:c r="L35" s="373" t="str">
        <x:v>חיוב אוגוסט יורד בכרטיס ב־02.09</x:v>
      </x:c>
      <x:c r="M35" s="140"/>
      <x:c r="N35" s="156"/>
      <x:c r="O35" s="156"/>
      <x:c r="P35" s="156"/>
      <x:c r="Q35" s="156"/>
      <x:c r="R35" s="156"/>
    </x:row>
    <x:row r="36" ht="28" customHeight="1">
      <x:c r="A36" s="372" t="str">
        <x:v>46267</x:v>
      </x:c>
      <x:c r="B36" s="373" t="str">
        <x:v>ספטמבר</x:v>
      </x:c>
      <x:c r="C36" s="373" t="str">
        <x:v>הוצאה</x:v>
      </x:c>
      <x:c r="D36" s="373" t="str">
        <x:v>יונתן דובאי</x:v>
      </x:c>
      <x:c r="E36" s="373" t="str">
        <x:v>משכורת צרפתי</x:v>
      </x:c>
      <x:c r="F36" s="373" t="str">
        <x:v>אשראי</x:v>
      </x:c>
      <x:c r="G36" s="374" t="str">
        <x:v>5000</x:v>
      </x:c>
      <x:c r="H36" s="373" t="str">
        <x:v>ILS</x:v>
      </x:c>
      <x:c r="I36" s="375" t="str">
        <x:v>5000</x:v>
      </x:c>
      <x:c r="J36" s="373" t="str">
        <x:v>מאושר</x:v>
      </x:c>
      <x:c r="K36" s="375" t="n">
        <x:f>K35+IF(I36="",0,IF(C36="הכנסה",I36,-I36))</x:f>
        <x:v>45697.969999999994</x:v>
      </x:c>
      <x:c r="L36" s="373" t="str">
        <x:v>הוצאה של חודש אוגוסט; יורדת בכרטיס האשראי ב־02.09.2026</x:v>
      </x:c>
      <x:c r="M36" s="140"/>
      <x:c r="N36" s="156"/>
      <x:c r="O36" s="156"/>
      <x:c r="P36" s="156"/>
      <x:c r="Q36" s="156"/>
      <x:c r="R36" s="156"/>
    </x:row>
    <x:row r="37" ht="28" customHeight="1">
      <x:c r="A37" s="372" t="str">
        <x:v>46267</x:v>
      </x:c>
      <x:c r="B37" s="373" t="str">
        <x:v>ספטמבר</x:v>
      </x:c>
      <x:c r="C37" s="373" t="str">
        <x:v>הוצאה</x:v>
      </x:c>
      <x:c r="D37" s="373" t="str">
        <x:v>Google One</x:v>
      </x:c>
      <x:c r="E37" s="373" t="str">
        <x:v>שירות חודשי – חודש אוגוסט</x:v>
      </x:c>
      <x:c r="F37" s="373" t="str">
        <x:v>אשראי</x:v>
      </x:c>
      <x:c r="G37" s="374" t="str">
        <x:v>750</x:v>
      </x:c>
      <x:c r="H37" s="373" t="str">
        <x:v>ILS</x:v>
      </x:c>
      <x:c r="I37" s="375" t="str">
        <x:v>750</x:v>
      </x:c>
      <x:c r="J37" s="373" t="str">
        <x:v>מאושר</x:v>
      </x:c>
      <x:c r="K37" s="375" t="n">
        <x:f>K36+IF(I37="",0,IF(C37="הכנסה",I37,-I37))</x:f>
        <x:v>44947.969999999994</x:v>
      </x:c>
      <x:c r="L37" s="373" t="str">
        <x:v>חיוב אשראי של חודש אוגוסט; יורד בפועל ב־02 לחודש הבא</x:v>
      </x:c>
      <x:c r="M37" s="140"/>
      <x:c r="N37" s="156"/>
      <x:c r="O37" s="156"/>
      <x:c r="P37" s="156"/>
      <x:c r="Q37" s="156"/>
      <x:c r="R37" s="156"/>
    </x:row>
    <x:row r="38" ht="28" customHeight="1">
      <x:c r="A38" s="372" t="str">
        <x:v>46270</x:v>
      </x:c>
      <x:c r="B38" s="373" t="str">
        <x:v>ספטמבר</x:v>
      </x:c>
      <x:c r="C38" s="373" t="str">
        <x:v>הוצאה</x:v>
      </x:c>
      <x:c r="D38" s="373" t="str">
        <x:v>אשר נובחוב</x:v>
      </x:c>
      <x:c r="E38" s="373" t="str">
        <x:v>משכורת / קרן השתלמות</x:v>
      </x:c>
      <x:c r="F38" s="373" t="str">
        <x:v>העברה בנקאית</x:v>
      </x:c>
      <x:c r="G38" s="374" t="str">
        <x:v>1500</x:v>
      </x:c>
      <x:c r="H38" s="373" t="str">
        <x:v>ILS</x:v>
      </x:c>
      <x:c r="I38" s="375" t="str">
        <x:v>1500</x:v>
      </x:c>
      <x:c r="J38" s="373" t="str">
        <x:v>מאושר</x:v>
      </x:c>
      <x:c r="K38" s="375" t="n">
        <x:f>K37+IF(I38="",0,IF(C38="הכנסה",I38,-I38))</x:f>
        <x:v>43447.969999999994</x:v>
      </x:c>
      <x:c r="L38" s="373" t="str">
        <x:v>נמסר על ידי המשתמש</x:v>
      </x:c>
      <x:c r="M38" s="140"/>
      <x:c r="N38" s="156"/>
      <x:c r="O38" s="156"/>
      <x:c r="P38" s="156"/>
      <x:c r="Q38" s="156"/>
      <x:c r="R38" s="156"/>
    </x:row>
    <x:row r="39" ht="28" customHeight="1">
      <x:c r="A39" s="372" t="str">
        <x:v>46270</x:v>
      </x:c>
      <x:c r="B39" s="373" t="str">
        <x:v>ספטמבר</x:v>
      </x:c>
      <x:c r="C39" s="373" t="str">
        <x:v>הוצאה</x:v>
      </x:c>
      <x:c r="D39" s="373" t="str">
        <x:v>טיטי שטיינפלד</x:v>
      </x:c>
      <x:c r="E39" s="373" t="str">
        <x:v>פרויקט שי – עמדות טעינה</x:v>
      </x:c>
      <x:c r="F39" s="373" t="str">
        <x:v>העברה בנקאית</x:v>
      </x:c>
      <x:c r="G39" s="374" t="str">
        <x:v>1180</x:v>
      </x:c>
      <x:c r="H39" s="373" t="str">
        <x:v>ILS</x:v>
      </x:c>
      <x:c r="I39" s="375" t="str">
        <x:v>1180</x:v>
      </x:c>
      <x:c r="J39" s="373" t="str">
        <x:v>מאושר</x:v>
      </x:c>
      <x:c r="K39" s="375" t="n">
        <x:f>K38+IF(I39="",0,IF(C39="הכנסה",I39,-I39))</x:f>
        <x:v>42267.969999999994</x:v>
      </x:c>
      <x:c r="L39" s="373" t="str">
        <x:v>נמסר על ידי המשתמש</x:v>
      </x:c>
      <x:c r="M39" s="140"/>
      <x:c r="N39" s="156"/>
      <x:c r="O39" s="156"/>
      <x:c r="P39" s="156"/>
      <x:c r="Q39" s="156"/>
      <x:c r="R39" s="156"/>
    </x:row>
    <x:row r="40" ht="28" customHeight="1">
      <x:c r="A40" s="367" t="str">
        <x:v>46270</x:v>
      </x:c>
      <x:c r="B40" s="368" t="str">
        <x:v>ספטמבר</x:v>
      </x:c>
      <x:c r="C40" s="368" t="str">
        <x:v>הכנסה</x:v>
      </x:c>
      <x:c r="D40" s="368" t="str">
        <x:v>רנט איט</x:v>
      </x:c>
      <x:c r="E40" s="368" t="str">
        <x:v>תשלום</x:v>
      </x:c>
      <x:c r="F40" s="368"/>
      <x:c r="G40" s="369" t="str">
        <x:v>315</x:v>
      </x:c>
      <x:c r="H40" s="368" t="str">
        <x:v>ILS</x:v>
      </x:c>
      <x:c r="I40" s="370" t="str">
        <x:v>315</x:v>
      </x:c>
      <x:c r="J40" s="368" t="str">
        <x:v>מאושר</x:v>
      </x:c>
      <x:c r="K40" s="370" t="n">
        <x:f>K39+IF(I40="",0,IF(C40="הכנסה",I40,-I40))</x:f>
        <x:v>42582.969999999994</x:v>
      </x:c>
      <x:c r="L40" s="368" t="str">
        <x:v>נמסר על ידי המשתמש</x:v>
      </x:c>
      <x:c r="M40" s="140"/>
      <x:c r="N40" s="156"/>
      <x:c r="O40" s="156"/>
      <x:c r="P40" s="156"/>
      <x:c r="Q40" s="156"/>
      <x:c r="R40" s="156"/>
    </x:row>
    <x:row r="41" ht="28" customHeight="1">
      <x:c r="A41" s="372" t="n">
        <x:v>46270</x:v>
      </x:c>
      <x:c r="B41" s="373" t="str">
        <x:v>ספטמבר</x:v>
      </x:c>
      <x:c r="C41" s="373" t="str">
        <x:v>הוצאה</x:v>
      </x:c>
      <x:c r="D41" s="373" t="str">
        <x:v>משכורות צרפתי</x:v>
      </x:c>
      <x:c r="E41" s="373" t="str">
        <x:v>משכורות צרפתי – חודש ספטמבר</x:v>
      </x:c>
      <x:c r="F41" s="373" t="str">
        <x:v>העברה בנקאית</x:v>
      </x:c>
      <x:c r="G41" s="374"/>
      <x:c r="H41" s="373" t="str">
        <x:v>ILS</x:v>
      </x:c>
      <x:c r="I41" s="396"/>
      <x:c r="J41" s="383" t="str">
        <x:v>חסר סכום</x:v>
      </x:c>
      <x:c r="K41" s="375" t="n">
        <x:f>K40+IF(I41="",0,IF(C41="הכנסה",I41,-I41))</x:f>
        <x:v>42582.969999999994</x:v>
      </x:c>
      <x:c r="L41" s="373" t="str">
        <x:v>סכום טרם נקבע – יש להשלים לפני 05.09.2026</x:v>
      </x:c>
      <x:c r="M41" s="140"/>
      <x:c r="N41" s="156"/>
      <x:c r="O41" s="156"/>
      <x:c r="P41" s="156"/>
      <x:c r="Q41" s="156"/>
      <x:c r="R41" s="156"/>
    </x:row>
    <x:row r="42" ht="28" customHeight="1">
      <x:c r="A42" s="367" t="str">
        <x:v>46272</x:v>
      </x:c>
      <x:c r="B42" s="368" t="str">
        <x:v>ספטמבר</x:v>
      </x:c>
      <x:c r="C42" s="368" t="str">
        <x:v>הכנסה</x:v>
      </x:c>
      <x:c r="D42" s="368" t="str">
        <x:v>רויטל ולדמן - דוידי</x:v>
      </x:c>
      <x:c r="E42" s="368" t="str">
        <x:v>חבילה שנתית אחסון + דומיין revitalarc.co.il</x:v>
      </x:c>
      <x:c r="F42" s="368" t="str">
        <x:v>חשבון עסקה</x:v>
      </x:c>
      <x:c r="G42" s="369" t="str">
        <x:v>826</x:v>
      </x:c>
      <x:c r="H42" s="368" t="str">
        <x:v>ILS</x:v>
      </x:c>
      <x:c r="I42" s="370" t="str">
        <x:v>826</x:v>
      </x:c>
      <x:c r="J42" s="368" t="str">
        <x:v>מאושר</x:v>
      </x:c>
      <x:c r="K42" s="370" t="n">
        <x:f>K41+IF(I42="",0,IF(C42="הכנסה",I42,-I42))</x:f>
        <x:v>43408.969999999994</x:v>
      </x:c>
      <x:c r="L42" s="368" t="str">
        <x:v>GreenInvoice / נמסר על ידי המשתמש</x:v>
      </x:c>
      <x:c r="M42" s="140"/>
      <x:c r="N42" s="156"/>
      <x:c r="O42" s="156"/>
      <x:c r="P42" s="156"/>
      <x:c r="Q42" s="156"/>
      <x:c r="R42" s="156"/>
    </x:row>
    <x:row r="43" ht="28" customHeight="1">
      <x:c r="A43" s="367" t="str">
        <x:v>46275</x:v>
      </x:c>
      <x:c r="B43" s="368" t="str">
        <x:v>ספטמבר</x:v>
      </x:c>
      <x:c r="C43" s="368" t="str">
        <x:v>הכנסה</x:v>
      </x:c>
      <x:c r="D43" s="368" t="str">
        <x:v>ש. שוורץ באר שבע בע״מ</x:v>
      </x:c>
      <x:c r="E43" s="368" t="str">
        <x:v>אחסון אתר VPS – s-schwartz.co.il</x:v>
      </x:c>
      <x:c r="F43" s="368" t="str">
        <x:v>הוראת קבע</x:v>
      </x:c>
      <x:c r="G43" s="369" t="str">
        <x:v>649</x:v>
      </x:c>
      <x:c r="H43" s="368" t="str">
        <x:v>ILS</x:v>
      </x:c>
      <x:c r="I43" s="370" t="str">
        <x:v>649</x:v>
      </x:c>
      <x:c r="J43" s="368" t="str">
        <x:v>מאושר</x:v>
      </x:c>
      <x:c r="K43" s="370" t="n">
        <x:f>K42+IF(I43="",0,IF(C43="הכנסה",I43,-I43))</x:f>
        <x:v>44057.969999999994</x:v>
      </x:c>
      <x:c r="L43" s="368" t="str">
        <x:v>נמסר על ידי המשתמש</x:v>
      </x:c>
      <x:c r="M43" s="140"/>
      <x:c r="N43" s="156"/>
      <x:c r="O43" s="156"/>
      <x:c r="P43" s="156"/>
      <x:c r="Q43" s="156"/>
      <x:c r="R43" s="156"/>
    </x:row>
    <x:row r="44" ht="28" customHeight="1">
      <x:c r="A44" s="367" t="str">
        <x:v>46277</x:v>
      </x:c>
      <x:c r="B44" s="368" t="str">
        <x:v>ספטמבר</x:v>
      </x:c>
      <x:c r="C44" s="368" t="str">
        <x:v>הכנסה</x:v>
      </x:c>
      <x:c r="D44" s="368" t="str">
        <x:v>כללית</x:v>
      </x:c>
      <x:c r="E44" s="368" t="str">
        <x:v>אחסון מערכת ניהול טפסי בקשה</x:v>
      </x:c>
      <x:c r="F44" s="368" t="str">
        <x:v>חשבון עסקה</x:v>
      </x:c>
      <x:c r="G44" s="369" t="str">
        <x:v>1982</x:v>
      </x:c>
      <x:c r="H44" s="368" t="str">
        <x:v>ILS</x:v>
      </x:c>
      <x:c r="I44" s="370" t="str">
        <x:v>1982</x:v>
      </x:c>
      <x:c r="J44" s="377" t="str">
        <x:v>מאושר</x:v>
      </x:c>
      <x:c r="K44" s="370" t="n">
        <x:f>K43+IF(I44="",0,IF(C44="הכנסה",I44,-I44))</x:f>
        <x:v>46039.969999999994</x:v>
      </x:c>
      <x:c r="L44" s="368" t="str">
        <x:v>GreenInvoice / נמסר על ידי המשתמש</x:v>
      </x:c>
      <x:c r="M44" s="140"/>
      <x:c r="N44" s="156"/>
      <x:c r="O44" s="156"/>
      <x:c r="P44" s="156"/>
      <x:c r="Q44" s="156"/>
      <x:c r="R44" s="156"/>
    </x:row>
    <x:row r="45" ht="28" customHeight="1">
      <x:c r="A45" s="367" t="str">
        <x:v>46277</x:v>
      </x:c>
      <x:c r="B45" s="368" t="str">
        <x:v>ספטמבר</x:v>
      </x:c>
      <x:c r="C45" s="368" t="str">
        <x:v>הכנסה</x:v>
      </x:c>
      <x:c r="D45" s="368" t="str">
        <x:v>אלקטרו פויינט / Shay Patel</x:v>
      </x:c>
      <x:c r="E45" s="368" t="str">
        <x:v>ייעוץ דיגיטלי וליווי חודשי</x:v>
      </x:c>
      <x:c r="F45" s="368" t="str">
        <x:v>הוראת קבע</x:v>
      </x:c>
      <x:c r="G45" s="369" t="str">
        <x:v>2360</x:v>
      </x:c>
      <x:c r="H45" s="368" t="str">
        <x:v>ILS</x:v>
      </x:c>
      <x:c r="I45" s="370" t="str">
        <x:v>2360</x:v>
      </x:c>
      <x:c r="J45" s="368" t="str">
        <x:v>מאושר</x:v>
      </x:c>
      <x:c r="K45" s="370" t="n">
        <x:f>K44+IF(I45="",0,IF(C45="הכנסה",I45,-I45))</x:f>
        <x:v>48399.969999999994</x:v>
      </x:c>
      <x:c r="L45" s="368" t="str">
        <x:v>נמסר על ידי המשתמש</x:v>
      </x:c>
      <x:c r="M45" s="140"/>
      <x:c r="N45" s="156"/>
      <x:c r="O45" s="156"/>
      <x:c r="P45" s="156"/>
      <x:c r="Q45" s="156"/>
      <x:c r="R45" s="156"/>
    </x:row>
    <x:row r="46" ht="28" customHeight="1">
      <x:c r="A46" s="367" t="str">
        <x:v>46280</x:v>
      </x:c>
      <x:c r="B46" s="368" t="str">
        <x:v>ספטמבר</x:v>
      </x:c>
      <x:c r="C46" s="368" t="str">
        <x:v>הכנסה</x:v>
      </x:c>
      <x:c r="D46" s="368" t="str">
        <x:v>אלברט שמאילוב</x:v>
      </x:c>
      <x:c r="E46" s="368" t="str">
        <x:v>אחסון דף</x:v>
      </x:c>
      <x:c r="F46" s="368" t="str">
        <x:v>הוראת קבע</x:v>
      </x:c>
      <x:c r="G46" s="369" t="str">
        <x:v>94</x:v>
      </x:c>
      <x:c r="H46" s="368" t="str">
        <x:v>ILS</x:v>
      </x:c>
      <x:c r="I46" s="370" t="str">
        <x:v>94</x:v>
      </x:c>
      <x:c r="J46" s="368" t="str">
        <x:v>מאושר</x:v>
      </x:c>
      <x:c r="K46" s="370" t="n">
        <x:f>K45+IF(I46="",0,IF(C46="הכנסה",I46,-I46))</x:f>
        <x:v>48493.969999999994</x:v>
      </x:c>
      <x:c r="L46" s="368" t="str">
        <x:v>נמסר על ידי המשתמש</x:v>
      </x:c>
      <x:c r="M46" s="140"/>
      <x:c r="N46" s="156"/>
      <x:c r="O46" s="156"/>
      <x:c r="P46" s="156"/>
      <x:c r="Q46" s="156"/>
      <x:c r="R46" s="156"/>
    </x:row>
    <x:row r="47" ht="28" customHeight="1">
      <x:c r="A47" s="367" t="str">
        <x:v>46280</x:v>
      </x:c>
      <x:c r="B47" s="368" t="str">
        <x:v>ספטמבר</x:v>
      </x:c>
      <x:c r="C47" s="368" t="str">
        <x:v>הכנסה</x:v>
      </x:c>
      <x:c r="D47" s="368" t="str">
        <x:v>רחמים רם</x:v>
      </x:c>
      <x:c r="E47" s="368" t="str">
        <x:v>תשלום</x:v>
      </x:c>
      <x:c r="F47" s="368"/>
      <x:c r="G47" s="369" t="str">
        <x:v>4000</x:v>
      </x:c>
      <x:c r="H47" s="368" t="str">
        <x:v>ILS</x:v>
      </x:c>
      <x:c r="I47" s="370" t="str">
        <x:v>4000</x:v>
      </x:c>
      <x:c r="J47" s="377" t="str">
        <x:v>מאושר</x:v>
      </x:c>
      <x:c r="K47" s="370" t="n">
        <x:f>K46+IF(I47="",0,IF(C47="הכנסה",I47,-I47))</x:f>
        <x:v>52493.969999999994</x:v>
      </x:c>
      <x:c r="L47" s="368" t="str">
        <x:v>נמסר על ידי המשתמש</x:v>
      </x:c>
      <x:c r="M47" s="140"/>
      <x:c r="N47" s="156"/>
      <x:c r="O47" s="156"/>
      <x:c r="P47" s="156"/>
      <x:c r="Q47" s="156"/>
      <x:c r="R47" s="156"/>
    </x:row>
    <x:row r="48" ht="28" customHeight="1">
      <x:c r="A48" s="372" t="str">
        <x:v>46280</x:v>
      </x:c>
      <x:c r="B48" s="373" t="str">
        <x:v>ספטמבר</x:v>
      </x:c>
      <x:c r="C48" s="373" t="str">
        <x:v>הוצאה</x:v>
      </x:c>
      <x:c r="D48" s="373" t="str">
        <x:v>מיסים נוספים</x:v>
      </x:c>
      <x:c r="E48" s="373" t="str">
        <x:v>מיסים נוספים – לא כולל מע״מ משוער</x:v>
      </x:c>
      <x:c r="F48" s="373" t="str">
        <x:v>העברה בנקאית</x:v>
      </x:c>
      <x:c r="G48" s="374"/>
      <x:c r="H48" s="373" t="str">
        <x:v>ILS</x:v>
      </x:c>
      <x:c r="I48" s="396"/>
      <x:c r="J48" s="383" t="str">
        <x:v>חסר סכום</x:v>
      </x:c>
      <x:c r="K48" s="375" t="n">
        <x:f>K47+IF(I48="",0,IF(C48="הכנסה",I48,-I48))</x:f>
        <x:v>52493.969999999994</x:v>
      </x:c>
      <x:c r="L48" s="373" t="str">
        <x:v>סכום עדיין חסר; המע״מ המשוער מחושב בנפרד ומופיע בשורה ייעודית</x:v>
      </x:c>
      <x:c r="M48" s="140"/>
      <x:c r="N48" s="156"/>
      <x:c r="O48" s="156"/>
      <x:c r="P48" s="156"/>
      <x:c r="Q48" s="156"/>
      <x:c r="R48" s="156"/>
    </x:row>
    <x:row r="49" ht="28" customHeight="1">
      <x:c r="A49" s="372" t="str">
        <x:v>46280</x:v>
      </x:c>
      <x:c r="B49" s="373" t="str">
        <x:v>ספטמבר</x:v>
      </x:c>
      <x:c r="C49" s="373" t="str">
        <x:v>הוצאה</x:v>
      </x:c>
      <x:c r="D49" s="373" t="str">
        <x:v>מע״מ משוער</x:v>
      </x:c>
      <x:c r="E49" s="373" t="str">
        <x:v>מע״מ עבור פעילות אוגוסט 2026</x:v>
      </x:c>
      <x:c r="F49" s="373" t="str">
        <x:v>העברה בנקאית</x:v>
      </x:c>
      <x:c r="G49" s="374"/>
      <x:c r="H49" s="373" t="str">
        <x:v>ILS</x:v>
      </x:c>
      <x:c r="I49" s="375" t="n">
        <x:f>$X$2</x:f>
        <x:v>4813.2849152542385</x:v>
      </x:c>
      <x:c r="J49" s="373" t="str">
        <x:v>אומדן</x:v>
      </x:c>
      <x:c r="K49" s="375" t="n">
        <x:f>K48+IF(I49="",0,IF(C49="הכנסה",I49,-I49))</x:f>
        <x:v>47680.68508474575</x:v>
      </x:c>
      <x:c r="L49" s="373" t="str">
        <x:v>אומדן תזרים לפי 18% פחות מס תשומות ידוע; בפועל יש לאמת מול הנהלת החשבונות</x:v>
      </x:c>
      <x:c r="M49" s="140"/>
      <x:c r="N49" s="156"/>
      <x:c r="O49" s="156"/>
      <x:c r="P49" s="156"/>
      <x:c r="Q49" s="156"/>
      <x:c r="R49" s="156"/>
    </x:row>
    <x:row r="50" ht="28" customHeight="1">
      <x:c r="A50" s="367" t="str">
        <x:v>46283</x:v>
      </x:c>
      <x:c r="B50" s="368" t="str">
        <x:v>ספטמבר</x:v>
      </x:c>
      <x:c r="C50" s="368" t="str">
        <x:v>הכנסה</x:v>
      </x:c>
      <x:c r="D50" s="368" t="str">
        <x:v>מאפיית שילת</x:v>
      </x:c>
      <x:c r="E50" s="368" t="str">
        <x:v>חבילה שנתית אחסון + דומיין shilat-bakery.co.il</x:v>
      </x:c>
      <x:c r="F50" s="368" t="str">
        <x:v>חשבון עסקה</x:v>
      </x:c>
      <x:c r="G50" s="369" t="str">
        <x:v>1109</x:v>
      </x:c>
      <x:c r="H50" s="368" t="str">
        <x:v>ILS</x:v>
      </x:c>
      <x:c r="I50" s="370" t="str">
        <x:v>1109</x:v>
      </x:c>
      <x:c r="J50" s="368" t="str">
        <x:v>מאושר</x:v>
      </x:c>
      <x:c r="K50" s="370" t="n">
        <x:f>K49+IF(I50="",0,IF(C50="הכנסה",I50,-I50))</x:f>
        <x:v>48789.68508474575</x:v>
      </x:c>
      <x:c r="L50" s="368" t="str">
        <x:v>GreenInvoice / נמסר על ידי המשתמש</x:v>
      </x:c>
      <x:c r="M50" s="140"/>
      <x:c r="N50" s="156"/>
      <x:c r="O50" s="156"/>
      <x:c r="P50" s="156"/>
      <x:c r="Q50" s="156"/>
      <x:c r="R50" s="156"/>
    </x:row>
    <x:row r="51" ht="28" customHeight="1">
      <x:c r="A51" s="367" t="str">
        <x:v>46285</x:v>
      </x:c>
      <x:c r="B51" s="368" t="str">
        <x:v>ספטמבר</x:v>
      </x:c>
      <x:c r="C51" s="368" t="str">
        <x:v>הכנסה</x:v>
      </x:c>
      <x:c r="D51" s="368" t="str">
        <x:v>איציק לוי</x:v>
      </x:c>
      <x:c r="E51" s="368" t="str">
        <x:v>מערכת מוסכים</x:v>
      </x:c>
      <x:c r="F51" s="368"/>
      <x:c r="G51" s="369" t="str">
        <x:v>399</x:v>
      </x:c>
      <x:c r="H51" s="368" t="str">
        <x:v>ILS</x:v>
      </x:c>
      <x:c r="I51" s="370" t="str">
        <x:v>399</x:v>
      </x:c>
      <x:c r="J51" s="368" t="str">
        <x:v>מאושר</x:v>
      </x:c>
      <x:c r="K51" s="370" t="n">
        <x:f>K50+IF(I51="",0,IF(C51="הכנסה",I51,-I51))</x:f>
        <x:v>49188.68508474575</x:v>
      </x:c>
      <x:c r="L51" s="368" t="str">
        <x:v>נמסר על ידי המשתמש</x:v>
      </x:c>
      <x:c r="M51" s="140"/>
      <x:c r="N51" s="156"/>
      <x:c r="O51" s="156"/>
      <x:c r="P51" s="156"/>
      <x:c r="Q51" s="156"/>
      <x:c r="R51" s="156"/>
    </x:row>
    <x:row r="52" ht="28" customHeight="1">
      <x:c r="A52" s="367" t="str">
        <x:v>46286</x:v>
      </x:c>
      <x:c r="B52" s="368" t="str">
        <x:v>ספטמבר</x:v>
      </x:c>
      <x:c r="C52" s="368" t="str">
        <x:v>הכנסה</x:v>
      </x:c>
      <x:c r="D52" s="368" t="str">
        <x:v>Mascot</x:v>
      </x:c>
      <x:c r="E52" s="368" t="str">
        <x:v>אחסון אתר לפי הצעה 33484</x:v>
      </x:c>
      <x:c r="F52" s="368" t="str">
        <x:v>הוראת קבע</x:v>
      </x:c>
      <x:c r="G52" s="369" t="str">
        <x:v>49</x:v>
      </x:c>
      <x:c r="H52" s="368" t="str">
        <x:v>ILS</x:v>
      </x:c>
      <x:c r="I52" s="370" t="str">
        <x:v>49</x:v>
      </x:c>
      <x:c r="J52" s="368" t="str">
        <x:v>מאושר</x:v>
      </x:c>
      <x:c r="K52" s="370" t="n">
        <x:f>K51+IF(I52="",0,IF(C52="הכנסה",I52,-I52))</x:f>
        <x:v>49237.68508474575</x:v>
      </x:c>
      <x:c r="L52" s="368" t="str">
        <x:v>נמסר על ידי המשתמש</x:v>
      </x:c>
      <x:c r="M52" s="140"/>
      <x:c r="N52" s="156"/>
      <x:c r="O52" s="156"/>
      <x:c r="P52" s="156"/>
      <x:c r="Q52" s="156"/>
      <x:c r="R52" s="156"/>
    </x:row>
    <x:row r="53" ht="28" customHeight="1">
      <x:c r="A53" s="367" t="str">
        <x:v>46288</x:v>
      </x:c>
      <x:c r="B53" s="368" t="str">
        <x:v>ספטמבר</x:v>
      </x:c>
      <x:c r="C53" s="368" t="str">
        <x:v>הכנסה</x:v>
      </x:c>
      <x:c r="D53" s="368" t="str">
        <x:v>מאג אור טכנולוגיות מתקדמות בע״מ</x:v>
      </x:c>
      <x:c r="E53" s="368" t="str">
        <x:v>אחסון + דומיין לשנה mag-or.com</x:v>
      </x:c>
      <x:c r="F53" s="368" t="str">
        <x:v>חשבון עסקה</x:v>
      </x:c>
      <x:c r="G53" s="369" t="str">
        <x:v>1109</x:v>
      </x:c>
      <x:c r="H53" s="368" t="str">
        <x:v>ILS</x:v>
      </x:c>
      <x:c r="I53" s="370" t="str">
        <x:v>1109</x:v>
      </x:c>
      <x:c r="J53" s="368" t="str">
        <x:v>מאושר</x:v>
      </x:c>
      <x:c r="K53" s="370" t="n">
        <x:f>K52+IF(I53="",0,IF(C53="הכנסה",I53,-I53))</x:f>
        <x:v>50346.68508474575</x:v>
      </x:c>
      <x:c r="L53" s="368" t="str">
        <x:v>GreenInvoice / נמסר על ידי המשתמש</x:v>
      </x:c>
      <x:c r="M53" s="140"/>
      <x:c r="N53" s="156"/>
      <x:c r="O53" s="156"/>
      <x:c r="P53" s="156"/>
      <x:c r="Q53" s="156"/>
      <x:c r="R53" s="156"/>
    </x:row>
    <x:row r="54" ht="28" customHeight="1">
      <x:c r="A54" s="367" t="str">
        <x:v>46290</x:v>
      </x:c>
      <x:c r="B54" s="368" t="str">
        <x:v>ספטמבר</x:v>
      </x:c>
      <x:c r="C54" s="368" t="str">
        <x:v>הכנסה</x:v>
      </x:c>
      <x:c r="D54" s="368" t="str">
        <x:v>אדר 26</x:v>
      </x:c>
      <x:c r="E54" s="368" t="str">
        <x:v>תשלום שני לפרויקט</x:v>
      </x:c>
      <x:c r="F54" s="368"/>
      <x:c r="G54" s="369" t="str">
        <x:v>41300</x:v>
      </x:c>
      <x:c r="H54" s="368" t="str">
        <x:v>ILS</x:v>
      </x:c>
      <x:c r="I54" s="370" t="str">
        <x:v>41300</x:v>
      </x:c>
      <x:c r="J54" s="368" t="str">
        <x:v>מאושר</x:v>
      </x:c>
      <x:c r="K54" s="370" t="n">
        <x:f>K53+IF(I54="",0,IF(C54="הכנסה",I54,-I54))</x:f>
        <x:v>91646.68508474575</x:v>
      </x:c>
      <x:c r="L54" s="368" t="str">
        <x:v>נמסר על ידי המשתמש</x:v>
      </x:c>
      <x:c r="M54" s="140"/>
      <x:c r="N54" s="156"/>
      <x:c r="O54" s="156"/>
      <x:c r="P54" s="156"/>
      <x:c r="Q54" s="156"/>
      <x:c r="R54" s="156"/>
    </x:row>
    <x:row r="55" ht="28" customHeight="1">
      <x:c r="A55" s="367" t="str">
        <x:v>46296</x:v>
      </x:c>
      <x:c r="B55" s="368" t="str">
        <x:v>אוקטובר</x:v>
      </x:c>
      <x:c r="C55" s="368" t="str">
        <x:v>הכנסה</x:v>
      </x:c>
      <x:c r="D55" s="368" t="str">
        <x:v>MSI</x:v>
      </x:c>
      <x:c r="E55" s="368" t="str">
        <x:v>תשלום 3</x:v>
      </x:c>
      <x:c r="F55" s="368"/>
      <x:c r="G55" s="369" t="str">
        <x:v>2596</x:v>
      </x:c>
      <x:c r="H55" s="368" t="str">
        <x:v>ILS</x:v>
      </x:c>
      <x:c r="I55" s="370" t="str">
        <x:v>2596</x:v>
      </x:c>
      <x:c r="J55" s="368" t="str">
        <x:v>מאושר</x:v>
      </x:c>
      <x:c r="K55" s="370" t="n">
        <x:f>K54+IF(I55="",0,IF(C55="הכנסה",I55,-I55))</x:f>
        <x:v>94242.68508474575</x:v>
      </x:c>
      <x:c r="L55" s="368" t="str">
        <x:v>נמסר על ידי המשתמש</x:v>
      </x:c>
      <x:c r="M55" s="140"/>
      <x:c r="N55" s="156"/>
      <x:c r="O55" s="156"/>
      <x:c r="P55" s="156"/>
      <x:c r="Q55" s="156"/>
      <x:c r="R55" s="156"/>
    </x:row>
    <x:row r="56" ht="28" customHeight="1">
      <x:c r="A56" s="367" t="str">
        <x:v>46296</x:v>
      </x:c>
      <x:c r="B56" s="368" t="str">
        <x:v>אוקטובר</x:v>
      </x:c>
      <x:c r="C56" s="368" t="str">
        <x:v>הכנסה</x:v>
      </x:c>
      <x:c r="D56" s="368" t="str">
        <x:v>DN TRADE</x:v>
      </x:c>
      <x:c r="E56" s="368" t="str">
        <x:v>תשלום חודשי</x:v>
      </x:c>
      <x:c r="F56" s="368" t="str">
        <x:v>הוראת קבע</x:v>
      </x:c>
      <x:c r="G56" s="369" t="str">
        <x:v>199</x:v>
      </x:c>
      <x:c r="H56" s="368" t="str">
        <x:v>ILS</x:v>
      </x:c>
      <x:c r="I56" s="370" t="str">
        <x:v>199</x:v>
      </x:c>
      <x:c r="J56" s="368" t="str">
        <x:v>מאושר</x:v>
      </x:c>
      <x:c r="K56" s="370" t="n">
        <x:f>K55+IF(I56="",0,IF(C56="הכנסה",I56,-I56))</x:f>
        <x:v>94441.68508474575</x:v>
      </x:c>
      <x:c r="L56" s="368" t="str">
        <x:v>נמסר על ידי המשתמש</x:v>
      </x:c>
      <x:c r="M56" s="140"/>
      <x:c r="N56" s="156"/>
      <x:c r="O56" s="156"/>
      <x:c r="P56" s="156"/>
      <x:c r="Q56" s="156"/>
      <x:c r="R56" s="156"/>
    </x:row>
    <x:row r="57" ht="28" customHeight="1">
      <x:c r="A57" s="367" t="str">
        <x:v>46296</x:v>
      </x:c>
      <x:c r="B57" s="368" t="str">
        <x:v>אוקטובר</x:v>
      </x:c>
      <x:c r="C57" s="368" t="str">
        <x:v>הכנסה</x:v>
      </x:c>
      <x:c r="D57" s="368" t="str">
        <x:v>יבואני הממתקים ב.מ. בע״מ</x:v>
      </x:c>
      <x:c r="E57" s="368" t="str">
        <x:v>אחסון, תמיכה וגיבויים חודשיים ל־4 אתרים</x:v>
      </x:c>
      <x:c r="F57" s="368" t="str">
        <x:v>הוראת קבע</x:v>
      </x:c>
      <x:c r="G57" s="369" t="str">
        <x:v>247.8</x:v>
      </x:c>
      <x:c r="H57" s="368" t="str">
        <x:v>ILS</x:v>
      </x:c>
      <x:c r="I57" s="370" t="str">
        <x:v>247.8</x:v>
      </x:c>
      <x:c r="J57" s="368" t="str">
        <x:v>מאושר</x:v>
      </x:c>
      <x:c r="K57" s="370" t="n">
        <x:f>K56+IF(I57="",0,IF(C57="הכנסה",I57,-I57))</x:f>
        <x:v>94689.48508474576</x:v>
      </x:c>
      <x:c r="L57" s="368" t="str">
        <x:v>נמסר על ידי המשתמש</x:v>
      </x:c>
      <x:c r="M57" s="140"/>
      <x:c r="N57" s="156"/>
      <x:c r="O57" s="156"/>
      <x:c r="P57" s="156"/>
      <x:c r="Q57" s="156"/>
      <x:c r="R57" s="156"/>
    </x:row>
    <x:row r="58" ht="28" customHeight="1">
      <x:c r="A58" s="372" t="str">
        <x:v>46296</x:v>
      </x:c>
      <x:c r="B58" s="373" t="str">
        <x:v>אוקטובר</x:v>
      </x:c>
      <x:c r="C58" s="373" t="str">
        <x:v>הוצאה</x:v>
      </x:c>
      <x:c r="D58" s="373" t="str">
        <x:v>יובל שכטר</x:v>
      </x:c>
      <x:c r="E58" s="373" t="str">
        <x:v>רואה חשבון – שירות חודשי</x:v>
      </x:c>
      <x:c r="F58" s="373" t="str">
        <x:v>הוראת קבע בנקאית</x:v>
      </x:c>
      <x:c r="G58" s="374" t="str">
        <x:v>1755</x:v>
      </x:c>
      <x:c r="H58" s="373" t="str">
        <x:v>ILS</x:v>
      </x:c>
      <x:c r="I58" s="375" t="str">
        <x:v>1755</x:v>
      </x:c>
      <x:c r="J58" s="373" t="str">
        <x:v>מאושר</x:v>
      </x:c>
      <x:c r="K58" s="375" t="n">
        <x:f>K57+IF(I58="",0,IF(C58="הכנסה",I58,-I58))</x:f>
        <x:v>92934.48508474576</x:v>
      </x:c>
      <x:c r="L58" s="373" t="str">
        <x:v>הוראת קבע בנקאית בכל 1 לחודש</x:v>
      </x:c>
      <x:c r="M58" s="140"/>
      <x:c r="N58" s="156"/>
      <x:c r="O58" s="156"/>
      <x:c r="P58" s="156"/>
      <x:c r="Q58" s="156"/>
      <x:c r="R58" s="156"/>
    </x:row>
    <x:row r="59" ht="28" customHeight="1">
      <x:c r="A59" s="372" t="str">
        <x:v>46297</x:v>
      </x:c>
      <x:c r="B59" s="373" t="str">
        <x:v>אוקטובר</x:v>
      </x:c>
      <x:c r="C59" s="373" t="str">
        <x:v>הוצאה</x:v>
      </x:c>
      <x:c r="D59" s="373" t="str">
        <x:v>Cursor</x:v>
      </x:c>
      <x:c r="E59" s="373" t="str">
        <x:v>מנוי חודשי – חיוב ספטמבר</x:v>
      </x:c>
      <x:c r="F59" s="373" t="str">
        <x:v>אשראי</x:v>
      </x:c>
      <x:c r="G59" s="374" t="str">
        <x:v>120</x:v>
      </x:c>
      <x:c r="H59" s="373" t="str">
        <x:v>USD</x:v>
      </x:c>
      <x:c r="I59" s="375" t="str">
        <x:v>359.98</x:v>
      </x:c>
      <x:c r="J59" s="373" t="str">
        <x:v>אומדן מט״ח</x:v>
      </x:c>
      <x:c r="K59" s="375" t="n">
        <x:f>K58+IF(I59="",0,IF(C59="הכנסה",I59,-I59))</x:f>
        <x:v>92574.50508474576</x:v>
      </x:c>
      <x:c r="L59" s="373" t="str">
        <x:v>120$ לפי שער משוער 2.99983 ₪/$; הסליקה בפועל עשויה להשתנות</x:v>
      </x:c>
      <x:c r="M59" s="140"/>
      <x:c r="N59" s="156"/>
      <x:c r="O59" s="156"/>
      <x:c r="P59" s="156"/>
      <x:c r="Q59" s="156"/>
      <x:c r="R59" s="156"/>
    </x:row>
    <x:row r="60" ht="28" customHeight="1">
      <x:c r="A60" s="372" t="str">
        <x:v>46297</x:v>
      </x:c>
      <x:c r="B60" s="373" t="str">
        <x:v>אוקטובר</x:v>
      </x:c>
      <x:c r="C60" s="373" t="str">
        <x:v>הוצאה</x:v>
      </x:c>
      <x:c r="D60" s="373" t="str">
        <x:v>טלזר 019 שירותי תקשורת בינלאומיים</x:v>
      </x:c>
      <x:c r="E60" s="373" t="str">
        <x:v>שירותי תקשורת</x:v>
      </x:c>
      <x:c r="F60" s="373" t="str">
        <x:v>אשראי</x:v>
      </x:c>
      <x:c r="G60" s="374" t="str">
        <x:v>124.5</x:v>
      </x:c>
      <x:c r="H60" s="373" t="str">
        <x:v>ILS</x:v>
      </x:c>
      <x:c r="I60" s="375" t="str">
        <x:v>124.5</x:v>
      </x:c>
      <x:c r="J60" s="373" t="str">
        <x:v>מאושר</x:v>
      </x:c>
      <x:c r="K60" s="375" t="n">
        <x:f>K59+IF(I60="",0,IF(C60="הכנסה",I60,-I60))</x:f>
        <x:v>92450.00508474576</x:v>
      </x:c>
      <x:c r="L60" s="373" t="str">
        <x:v>חיוב חודשי; שירות ספטמבר יורד בכרטיס ב־02.10</x:v>
      </x:c>
      <x:c r="M60" s="140"/>
      <x:c r="N60" s="156"/>
      <x:c r="O60" s="156"/>
      <x:c r="P60" s="156"/>
      <x:c r="Q60" s="156"/>
      <x:c r="R60" s="156"/>
    </x:row>
    <x:row r="61" ht="28" customHeight="1">
      <x:c r="A61" s="372" t="str">
        <x:v>46297</x:v>
      </x:c>
      <x:c r="B61" s="373" t="str">
        <x:v>אוקטובר</x:v>
      </x:c>
      <x:c r="C61" s="373" t="str">
        <x:v>הוצאה</x:v>
      </x:c>
      <x:c r="D61" s="373" t="str">
        <x:v>GREEN-API</x:v>
      </x:c>
      <x:c r="E61" s="373" t="str">
        <x:v>שירות API חודשי</x:v>
      </x:c>
      <x:c r="F61" s="373" t="str">
        <x:v>אשראי</x:v>
      </x:c>
      <x:c r="G61" s="374" t="str">
        <x:v>12</x:v>
      </x:c>
      <x:c r="H61" s="373" t="str">
        <x:v>USD</x:v>
      </x:c>
      <x:c r="I61" s="375" t="str">
        <x:v>37.7</x:v>
      </x:c>
      <x:c r="J61" s="373" t="str">
        <x:v>מאושר</x:v>
      </x:c>
      <x:c r="K61" s="375" t="n">
        <x:f>K60+IF(I61="",0,IF(C61="הכנסה",I61,-I61))</x:f>
        <x:v>92412.30508474576</x:v>
      </x:c>
      <x:c r="L61" s="373" t="str">
        <x:v>$12 = ₪37.70 כפי שנמסר; חיוב ספטמבר יורד בכרטיס ב־02.10</x:v>
      </x:c>
      <x:c r="M61" s="140"/>
      <x:c r="N61" s="156"/>
      <x:c r="O61" s="156"/>
      <x:c r="P61" s="156"/>
      <x:c r="Q61" s="156"/>
      <x:c r="R61" s="156"/>
    </x:row>
    <x:row r="62" ht="28" customHeight="1">
      <x:c r="A62" s="372" t="str">
        <x:v>46297</x:v>
      </x:c>
      <x:c r="B62" s="373" t="str">
        <x:v>אוקטובר</x:v>
      </x:c>
      <x:c r="C62" s="373" t="str">
        <x:v>הוצאה</x:v>
      </x:c>
      <x:c r="D62" s="373" t="str">
        <x:v>OPENAI</x:v>
      </x:c>
      <x:c r="E62" s="373" t="str">
        <x:v>שירות OpenAI חודשי</x:v>
      </x:c>
      <x:c r="F62" s="373" t="str">
        <x:v>אשראי</x:v>
      </x:c>
      <x:c r="G62" s="374" t="str">
        <x:v>10</x:v>
      </x:c>
      <x:c r="H62" s="373" t="str">
        <x:v>USD</x:v>
      </x:c>
      <x:c r="I62" s="375" t="str">
        <x:v>30.85</x:v>
      </x:c>
      <x:c r="J62" s="373" t="str">
        <x:v>מאושר</x:v>
      </x:c>
      <x:c r="K62" s="375" t="n">
        <x:f>K61+IF(I62="",0,IF(C62="הכנסה",I62,-I62))</x:f>
        <x:v>92381.45508474576</x:v>
      </x:c>
      <x:c r="L62" s="373" t="str">
        <x:v>$10 = ₪30.85 כפי שנמסר; חיוב ספטמבר יורד בכרטיס ב־02.10</x:v>
      </x:c>
      <x:c r="M62" s="140"/>
      <x:c r="N62" s="156"/>
      <x:c r="O62" s="156"/>
      <x:c r="P62" s="156"/>
      <x:c r="Q62" s="156"/>
      <x:c r="R62" s="156"/>
    </x:row>
    <x:row r="63" ht="28" customHeight="1">
      <x:c r="A63" s="372" t="str">
        <x:v>46297</x:v>
      </x:c>
      <x:c r="B63" s="373" t="str">
        <x:v>אוקטובר</x:v>
      </x:c>
      <x:c r="C63" s="373" t="str">
        <x:v>הוצאה</x:v>
      </x:c>
      <x:c r="D63" s="373" t="str">
        <x:v>Hetzner Online GmbH</x:v>
      </x:c>
      <x:c r="E63" s="373" t="str">
        <x:v>שירותי שרתים / אחסון</x:v>
      </x:c>
      <x:c r="F63" s="373" t="str">
        <x:v>אשראי</x:v>
      </x:c>
      <x:c r="G63" s="374" t="str">
        <x:v>29.68</x:v>
      </x:c>
      <x:c r="H63" s="373" t="str">
        <x:v>EUR</x:v>
      </x:c>
      <x:c r="I63" s="375" t="str">
        <x:v>104.54</x:v>
      </x:c>
      <x:c r="J63" s="373" t="str">
        <x:v>מאושר</x:v>
      </x:c>
      <x:c r="K63" s="375" t="n">
        <x:f>K62+IF(I63="",0,IF(C63="הכנסה",I63,-I63))</x:f>
        <x:v>92276.91508474576</x:v>
      </x:c>
      <x:c r="L63" s="373" t="str">
        <x:v>€29.68 = ₪104.54 כפי שנמסר; חיוב ספטמבר יורד בכרטיס ב־02.10</x:v>
      </x:c>
      <x:c r="M63" s="140"/>
      <x:c r="N63" s="156"/>
      <x:c r="O63" s="156"/>
      <x:c r="P63" s="156"/>
      <x:c r="Q63" s="156"/>
      <x:c r="R63" s="156"/>
    </x:row>
    <x:row r="64" ht="28" customHeight="1">
      <x:c r="A64" s="372" t="str">
        <x:v>46297</x:v>
      </x:c>
      <x:c r="B64" s="373" t="str">
        <x:v>אוקטובר</x:v>
      </x:c>
      <x:c r="C64" s="373" t="str">
        <x:v>הוצאה</x:v>
      </x:c>
      <x:c r="D64" s="373" t="str">
        <x:v>PAYCALL</x:v>
      </x:c>
      <x:c r="E64" s="373" t="str">
        <x:v>שירותי טלפוניה / תקשורת</x:v>
      </x:c>
      <x:c r="F64" s="373" t="str">
        <x:v>אשראי</x:v>
      </x:c>
      <x:c r="G64" s="374" t="str">
        <x:v>93</x:v>
      </x:c>
      <x:c r="H64" s="373" t="str">
        <x:v>ILS</x:v>
      </x:c>
      <x:c r="I64" s="375" t="str">
        <x:v>93</x:v>
      </x:c>
      <x:c r="J64" s="373" t="str">
        <x:v>מאושר</x:v>
      </x:c>
      <x:c r="K64" s="375" t="n">
        <x:f>K63+IF(I64="",0,IF(C64="הכנסה",I64,-I64))</x:f>
        <x:v>92183.91508474576</x:v>
      </x:c>
      <x:c r="L64" s="373" t="str">
        <x:v>סה״כ לתשלום ₪93.00 (לפני מע״מ ₪78.81 + מע״מ ₪14.19); חיוב ספטמבר יורד ב־02.10</x:v>
      </x:c>
      <x:c r="M64" s="140"/>
      <x:c r="N64" s="156"/>
      <x:c r="O64" s="156"/>
      <x:c r="P64" s="156"/>
      <x:c r="Q64" s="156"/>
      <x:c r="R64" s="156"/>
    </x:row>
    <x:row r="65" ht="28" customHeight="1">
      <x:c r="A65" s="372" t="str">
        <x:v>46297</x:v>
      </x:c>
      <x:c r="B65" s="373" t="str">
        <x:v>אוקטובר</x:v>
      </x:c>
      <x:c r="C65" s="373" t="str">
        <x:v>הוצאה</x:v>
      </x:c>
      <x:c r="D65" s="373" t="str">
        <x:v>אס.פי.די</x:v>
      </x:c>
      <x:c r="E65" s="373" t="str">
        <x:v>שירות חודשי</x:v>
      </x:c>
      <x:c r="F65" s="373" t="str">
        <x:v>אשראי</x:v>
      </x:c>
      <x:c r="G65" s="374" t="str">
        <x:v>74.62</x:v>
      </x:c>
      <x:c r="H65" s="373" t="str">
        <x:v>ILS</x:v>
      </x:c>
      <x:c r="I65" s="375" t="str">
        <x:v>74.62</x:v>
      </x:c>
      <x:c r="J65" s="373" t="str">
        <x:v>מאושר</x:v>
      </x:c>
      <x:c r="K65" s="375" t="n">
        <x:f>K64+IF(I65="",0,IF(C65="הכנסה",I65,-I65))</x:f>
        <x:v>92109.29508474577</x:v>
      </x:c>
      <x:c r="L65" s="373" t="str">
        <x:v>סה״כ לתשלום ₪74.62 (לפני מע״מ ₪63.24 + מע״מ ₪11.38); חיוב ספטמבר יורד ב־02.10</x:v>
      </x:c>
      <x:c r="M65" s="140"/>
      <x:c r="N65" s="156"/>
      <x:c r="O65" s="156"/>
      <x:c r="P65" s="156"/>
      <x:c r="Q65" s="156"/>
      <x:c r="R65" s="156"/>
    </x:row>
    <x:row r="66" ht="28" customHeight="1">
      <x:c r="A66" s="372" t="str">
        <x:v>46297</x:v>
      </x:c>
      <x:c r="B66" s="373" t="str">
        <x:v>אוקטובר</x:v>
      </x:c>
      <x:c r="C66" s="373" t="str">
        <x:v>הוצאה</x:v>
      </x:c>
      <x:c r="D66" s="373" t="str">
        <x:v>SUNO INC.</x:v>
      </x:c>
      <x:c r="E66" s="373" t="str">
        <x:v>שירות SUNO חודשי</x:v>
      </x:c>
      <x:c r="F66" s="373" t="str">
        <x:v>אשראי</x:v>
      </x:c>
      <x:c r="G66" s="374" t="str">
        <x:v>10</x:v>
      </x:c>
      <x:c r="H66" s="373" t="str">
        <x:v>USD</x:v>
      </x:c>
      <x:c r="I66" s="375" t="str">
        <x:v>30.86</x:v>
      </x:c>
      <x:c r="J66" s="373" t="str">
        <x:v>מאושר</x:v>
      </x:c>
      <x:c r="K66" s="375" t="n">
        <x:f>K65+IF(I66="",0,IF(C66="הכנסה",I66,-I66))</x:f>
        <x:v>92078.43508474577</x:v>
      </x:c>
      <x:c r="L66" s="373" t="str">
        <x:v>$10 = ₪30.86 כפי שנמסר; חיוב ספטמבר יורד ב־02.10</x:v>
      </x:c>
      <x:c r="M66" s="140"/>
      <x:c r="N66" s="156"/>
      <x:c r="O66" s="156"/>
      <x:c r="P66" s="156"/>
      <x:c r="Q66" s="156"/>
      <x:c r="R66" s="156"/>
    </x:row>
    <x:row r="67" ht="28" customHeight="1">
      <x:c r="A67" s="372" t="str">
        <x:v>46297</x:v>
      </x:c>
      <x:c r="B67" s="373" t="str">
        <x:v>אוקטובר</x:v>
      </x:c>
      <x:c r="C67" s="373" t="str">
        <x:v>הוצאה</x:v>
      </x:c>
      <x:c r="D67" s="373" t="str">
        <x:v>CLOUDFLARE</x:v>
      </x:c>
      <x:c r="E67" s="373" t="str">
        <x:v>שירות Cloudflare חודשי</x:v>
      </x:c>
      <x:c r="F67" s="373" t="str">
        <x:v>אשראי</x:v>
      </x:c>
      <x:c r="G67" s="374" t="str">
        <x:v>25</x:v>
      </x:c>
      <x:c r="H67" s="373" t="str">
        <x:v>USD</x:v>
      </x:c>
      <x:c r="I67" s="375" t="str">
        <x:v>77.15</x:v>
      </x:c>
      <x:c r="J67" s="373" t="str">
        <x:v>מאושר</x:v>
      </x:c>
      <x:c r="K67" s="375" t="n">
        <x:f>K66+IF(I67="",0,IF(C67="הכנסה",I67,-I67))</x:f>
        <x:v>92001.28508474577</x:v>
      </x:c>
      <x:c r="L67" s="373" t="str">
        <x:v>$25 = ₪77.15 כפי שנמסר; חיוב ספטמבר יורד ב־02.10</x:v>
      </x:c>
      <x:c r="M67" s="140"/>
      <x:c r="N67" s="156"/>
      <x:c r="O67" s="156"/>
      <x:c r="P67" s="156"/>
      <x:c r="Q67" s="156"/>
      <x:c r="R67" s="156"/>
    </x:row>
    <x:row r="68" ht="28" customHeight="1">
      <x:c r="A68" s="372" t="str">
        <x:v>46297</x:v>
      </x:c>
      <x:c r="B68" s="373" t="str">
        <x:v>אוקטובר</x:v>
      </x:c>
      <x:c r="C68" s="373" t="str">
        <x:v>הוצאה</x:v>
      </x:c>
      <x:c r="D68" s="373" t="str">
        <x:v>Google Workspace_hub.co.il</x:v>
      </x:c>
      <x:c r="E68" s="373" t="str">
        <x:v>Google Workspace – שירות חודשי</x:v>
      </x:c>
      <x:c r="F68" s="373" t="str">
        <x:v>אשראי</x:v>
      </x:c>
      <x:c r="G68" s="374" t="str">
        <x:v>176.4</x:v>
      </x:c>
      <x:c r="H68" s="373" t="str">
        <x:v>ILS</x:v>
      </x:c>
      <x:c r="I68" s="375" t="str">
        <x:v>176.4</x:v>
      </x:c>
      <x:c r="J68" s="373" t="str">
        <x:v>מאושר</x:v>
      </x:c>
      <x:c r="K68" s="375" t="n">
        <x:f>K67+IF(I68="",0,IF(C68="הכנסה",I68,-I68))</x:f>
        <x:v>91824.88508474578</x:v>
      </x:c>
      <x:c r="L68" s="373" t="str">
        <x:v>חיוב ספטמבר יורד בכרטיס ב־02.10</x:v>
      </x:c>
      <x:c r="M68" s="140"/>
      <x:c r="N68" s="156"/>
      <x:c r="O68" s="156"/>
      <x:c r="P68" s="156"/>
      <x:c r="Q68" s="156"/>
      <x:c r="R68" s="156"/>
    </x:row>
    <x:row r="69" ht="28" customHeight="1">
      <x:c r="A69" s="372" t="str">
        <x:v>46297</x:v>
      </x:c>
      <x:c r="B69" s="373" t="str">
        <x:v>אוקטובר</x:v>
      </x:c>
      <x:c r="C69" s="373" t="str">
        <x:v>הוצאה</x:v>
      </x:c>
      <x:c r="D69" s="373" t="str">
        <x:v>XCLOUD HOSTING, LLC</x:v>
      </x:c>
      <x:c r="E69" s="373" t="str">
        <x:v>שירותי אחסון / שרתים</x:v>
      </x:c>
      <x:c r="F69" s="373" t="str">
        <x:v>אשראי</x:v>
      </x:c>
      <x:c r="G69" s="374" t="str">
        <x:v>5.31</x:v>
      </x:c>
      <x:c r="H69" s="373" t="str">
        <x:v>USD</x:v>
      </x:c>
      <x:c r="I69" s="375" t="str">
        <x:v>16.29</x:v>
      </x:c>
      <x:c r="J69" s="373" t="str">
        <x:v>מאושר</x:v>
      </x:c>
      <x:c r="K69" s="375" t="n">
        <x:f>K68+IF(I69="",0,IF(C69="הכנסה",I69,-I69))</x:f>
        <x:v>91808.59508474579</x:v>
      </x:c>
      <x:c r="L69" s="373" t="str">
        <x:v>$5.31 = ₪16.29 כפי שנמסר; חיוב ספטמבר יורד ב־02.10</x:v>
      </x:c>
      <x:c r="M69" s="140"/>
      <x:c r="N69" s="156"/>
      <x:c r="O69" s="156"/>
      <x:c r="P69" s="156"/>
      <x:c r="Q69" s="156"/>
      <x:c r="R69" s="156"/>
    </x:row>
    <x:row r="70" ht="28" customHeight="1">
      <x:c r="A70" s="372" t="str">
        <x:v>46297</x:v>
      </x:c>
      <x:c r="B70" s="373" t="str">
        <x:v>אוקטובר</x:v>
      </x:c>
      <x:c r="C70" s="373" t="str">
        <x:v>הוצאה</x:v>
      </x:c>
      <x:c r="D70" s="373" t="str">
        <x:v>חשבונית ירוקה</x:v>
      </x:c>
      <x:c r="E70" s="373" t="str">
        <x:v>מערכת חשבוניות / הנהלת חשבונות</x:v>
      </x:c>
      <x:c r="F70" s="373" t="str">
        <x:v>אשראי</x:v>
      </x:c>
      <x:c r="G70" s="374" t="str">
        <x:v>97.94</x:v>
      </x:c>
      <x:c r="H70" s="373" t="str">
        <x:v>ILS</x:v>
      </x:c>
      <x:c r="I70" s="375" t="str">
        <x:v>97.94</x:v>
      </x:c>
      <x:c r="J70" s="373" t="str">
        <x:v>מאושר</x:v>
      </x:c>
      <x:c r="K70" s="375" t="n">
        <x:f>K69+IF(I70="",0,IF(C70="הכנסה",I70,-I70))</x:f>
        <x:v>91710.65508474578</x:v>
      </x:c>
      <x:c r="L70" s="373" t="str">
        <x:v>חיוב ספטמבר יורד בכרטיס ב־02.10</x:v>
      </x:c>
      <x:c r="M70" s="140"/>
      <x:c r="N70" s="156"/>
      <x:c r="O70" s="156"/>
      <x:c r="P70" s="156"/>
      <x:c r="Q70" s="156"/>
      <x:c r="R70" s="156"/>
    </x:row>
    <x:row r="71" ht="28" customHeight="1">
      <x:c r="A71" s="372" t="str">
        <x:v>46297</x:v>
      </x:c>
      <x:c r="B71" s="373" t="str">
        <x:v>אוקטובר</x:v>
      </x:c>
      <x:c r="C71" s="373" t="str">
        <x:v>הוצאה</x:v>
      </x:c>
      <x:c r="D71" s="373" t="str">
        <x:v>Cursor / אדר 26</x:v>
      </x:c>
      <x:c r="E71" s="373" t="str">
        <x:v>טוקנים – פרויקט אדר 26 – חודש ספטמבר</x:v>
      </x:c>
      <x:c r="F71" s="373" t="str">
        <x:v>אשראי</x:v>
      </x:c>
      <x:c r="G71" s="374" t="str">
        <x:v>2500</x:v>
      </x:c>
      <x:c r="H71" s="373" t="str">
        <x:v>ILS</x:v>
      </x:c>
      <x:c r="I71" s="375" t="str">
        <x:v>2500</x:v>
      </x:c>
      <x:c r="J71" s="373" t="str">
        <x:v>מאושר</x:v>
      </x:c>
      <x:c r="K71" s="375" t="n">
        <x:f>K70+IF(I71="",0,IF(C71="הכנסה",I71,-I71))</x:f>
        <x:v>89210.65508474578</x:v>
      </x:c>
      <x:c r="L71" s="373" t="str">
        <x:v>טוקנים של חודש ספטמבר; יורדים בפועל בכרטיס האשראי ב־02.10.2026</x:v>
      </x:c>
      <x:c r="M71" s="140"/>
      <x:c r="N71" s="156"/>
      <x:c r="O71" s="156"/>
      <x:c r="P71" s="156"/>
      <x:c r="Q71" s="156"/>
      <x:c r="R71" s="156"/>
    </x:row>
    <x:row r="72" ht="28" customHeight="1">
      <x:c r="A72" s="372" t="str">
        <x:v>46297</x:v>
      </x:c>
      <x:c r="B72" s="373" t="str">
        <x:v>אוקטובר</x:v>
      </x:c>
      <x:c r="C72" s="373" t="str">
        <x:v>הוצאה</x:v>
      </x:c>
      <x:c r="D72" s="373" t="str">
        <x:v>Google One</x:v>
      </x:c>
      <x:c r="E72" s="373" t="str">
        <x:v>שירות חודשי – חודש ספטמבר</x:v>
      </x:c>
      <x:c r="F72" s="373" t="str">
        <x:v>אשראי</x:v>
      </x:c>
      <x:c r="G72" s="374" t="str">
        <x:v>750</x:v>
      </x:c>
      <x:c r="H72" s="373" t="str">
        <x:v>ILS</x:v>
      </x:c>
      <x:c r="I72" s="375" t="str">
        <x:v>750</x:v>
      </x:c>
      <x:c r="J72" s="379" t="str">
        <x:v>מאושר</x:v>
      </x:c>
      <x:c r="K72" s="375" t="n">
        <x:f>K71+IF(I72="",0,IF(C72="הכנסה",I72,-I72))</x:f>
        <x:v>88460.65508474578</x:v>
      </x:c>
      <x:c r="L72" s="373" t="str">
        <x:v>חיוב אשראי של חודש ספטמבר; יורד בפועל ב־02 לחודש הבא</x:v>
      </x:c>
      <x:c r="M72" s="140"/>
      <x:c r="N72" s="156"/>
      <x:c r="O72" s="156"/>
      <x:c r="P72" s="156"/>
      <x:c r="Q72" s="156"/>
      <x:c r="R72" s="156"/>
    </x:row>
    <x:row r="73" ht="28" customHeight="1">
      <x:c r="A73" s="372" t="str">
        <x:v>46300</x:v>
      </x:c>
      <x:c r="B73" s="373" t="str">
        <x:v>אוקטובר</x:v>
      </x:c>
      <x:c r="C73" s="373" t="str">
        <x:v>הוצאה</x:v>
      </x:c>
      <x:c r="D73" s="373" t="str">
        <x:v>אשר נובחוב</x:v>
      </x:c>
      <x:c r="E73" s="373" t="str">
        <x:v>משכורת / קרן השתלמות</x:v>
      </x:c>
      <x:c r="F73" s="373" t="str">
        <x:v>העברה בנקאית</x:v>
      </x:c>
      <x:c r="G73" s="374" t="str">
        <x:v>1500</x:v>
      </x:c>
      <x:c r="H73" s="373" t="str">
        <x:v>ILS</x:v>
      </x:c>
      <x:c r="I73" s="375" t="str">
        <x:v>1500</x:v>
      </x:c>
      <x:c r="J73" s="379" t="str">
        <x:v>מאושר</x:v>
      </x:c>
      <x:c r="K73" s="375" t="n">
        <x:f>K72+IF(I73="",0,IF(C73="הכנסה",I73,-I73))</x:f>
        <x:v>86960.65508474578</x:v>
      </x:c>
      <x:c r="L73" s="373" t="str">
        <x:v>נמסר על ידי המשתמש</x:v>
      </x:c>
      <x:c r="M73" s="140"/>
      <x:c r="N73" s="156"/>
      <x:c r="O73" s="156"/>
      <x:c r="P73" s="156"/>
      <x:c r="Q73" s="156"/>
      <x:c r="R73" s="156"/>
    </x:row>
    <x:row r="74" ht="28" customHeight="1">
      <x:c r="A74" s="372" t="str">
        <x:v>46300</x:v>
      </x:c>
      <x:c r="B74" s="373" t="str">
        <x:v>אוקטובר</x:v>
      </x:c>
      <x:c r="C74" s="373" t="str">
        <x:v>הוצאה</x:v>
      </x:c>
      <x:c r="D74" s="373" t="str">
        <x:v>טיטי שטיינפלד</x:v>
      </x:c>
      <x:c r="E74" s="373" t="str">
        <x:v>פרויקט שי – עמדות טעינה</x:v>
      </x:c>
      <x:c r="F74" s="373" t="str">
        <x:v>העברה בנקאית</x:v>
      </x:c>
      <x:c r="G74" s="374" t="str">
        <x:v>1180</x:v>
      </x:c>
      <x:c r="H74" s="373" t="str">
        <x:v>ILS</x:v>
      </x:c>
      <x:c r="I74" s="375" t="str">
        <x:v>1180</x:v>
      </x:c>
      <x:c r="J74" s="373" t="str">
        <x:v>מאושר</x:v>
      </x:c>
      <x:c r="K74" s="375" t="n">
        <x:f>K73+IF(I74="",0,IF(C74="הכנסה",I74,-I74))</x:f>
        <x:v>85780.65508474578</x:v>
      </x:c>
      <x:c r="L74" s="373" t="str">
        <x:v>נמסר על ידי המשתמש</x:v>
      </x:c>
      <x:c r="M74" s="140"/>
      <x:c r="N74" s="156"/>
      <x:c r="O74" s="156"/>
      <x:c r="P74" s="156"/>
      <x:c r="Q74" s="156"/>
      <x:c r="R74" s="156"/>
    </x:row>
    <x:row r="75" ht="28" customHeight="1">
      <x:c r="A75" s="372" t="n">
        <x:v>46300</x:v>
      </x:c>
      <x:c r="B75" s="373" t="str">
        <x:v>אוקטובר</x:v>
      </x:c>
      <x:c r="C75" s="373" t="str">
        <x:v>הוצאה</x:v>
      </x:c>
      <x:c r="D75" s="373" t="str">
        <x:v>משכורות צרפתי</x:v>
      </x:c>
      <x:c r="E75" s="373" t="str">
        <x:v>משכורות צרפתי – חודש אוקטובר</x:v>
      </x:c>
      <x:c r="F75" s="373" t="str">
        <x:v>העברה בנקאית</x:v>
      </x:c>
      <x:c r="G75" s="374"/>
      <x:c r="H75" s="373" t="str">
        <x:v>ILS</x:v>
      </x:c>
      <x:c r="I75" s="396"/>
      <x:c r="J75" s="383" t="str">
        <x:v>חסר סכום</x:v>
      </x:c>
      <x:c r="K75" s="375" t="n">
        <x:f>K74+IF(I75="",0,IF(C75="הכנסה",I75,-I75))</x:f>
        <x:v>85780.65508474578</x:v>
      </x:c>
      <x:c r="L75" s="373" t="str">
        <x:v>סכום טרם נקבע – יש להשלים לפני 05.10.2026</x:v>
      </x:c>
      <x:c r="M75" s="140"/>
      <x:c r="N75" s="156"/>
      <x:c r="O75" s="156"/>
      <x:c r="P75" s="156"/>
      <x:c r="Q75" s="156"/>
      <x:c r="R75" s="156"/>
    </x:row>
    <x:row r="76" ht="28" customHeight="1">
      <x:c r="A76" s="367" t="str">
        <x:v>46305</x:v>
      </x:c>
      <x:c r="B76" s="368" t="str">
        <x:v>אוקטובר</x:v>
      </x:c>
      <x:c r="C76" s="368" t="str">
        <x:v>הכנסה</x:v>
      </x:c>
      <x:c r="D76" s="368" t="str">
        <x:v>ש. שוורץ באר שבע בע״מ</x:v>
      </x:c>
      <x:c r="E76" s="368" t="str">
        <x:v>אחסון אתר VPS – s-schwartz.co.il</x:v>
      </x:c>
      <x:c r="F76" s="368" t="str">
        <x:v>הוראת קבע</x:v>
      </x:c>
      <x:c r="G76" s="369" t="str">
        <x:v>649</x:v>
      </x:c>
      <x:c r="H76" s="368" t="str">
        <x:v>ILS</x:v>
      </x:c>
      <x:c r="I76" s="370" t="str">
        <x:v>649</x:v>
      </x:c>
      <x:c r="J76" s="368" t="str">
        <x:v>מאושר</x:v>
      </x:c>
      <x:c r="K76" s="370" t="n">
        <x:f>K75+IF(I76="",0,IF(C76="הכנסה",I76,-I76))</x:f>
        <x:v>86429.65508474578</x:v>
      </x:c>
      <x:c r="L76" s="368" t="str">
        <x:v>נמסר על ידי המשתמש</x:v>
      </x:c>
    </x:row>
    <x:row r="77" ht="28" customHeight="1">
      <x:c r="A77" s="367" t="str">
        <x:v>46307</x:v>
      </x:c>
      <x:c r="B77" s="368" t="str">
        <x:v>אוקטובר</x:v>
      </x:c>
      <x:c r="C77" s="368" t="str">
        <x:v>הכנסה</x:v>
      </x:c>
      <x:c r="D77" s="368" t="str">
        <x:v>אלקטרו פויינט / Shay Patel</x:v>
      </x:c>
      <x:c r="E77" s="368" t="str">
        <x:v>ייעוץ דיגיטלי וליווי חודשי</x:v>
      </x:c>
      <x:c r="F77" s="368" t="str">
        <x:v>הוראת קבע</x:v>
      </x:c>
      <x:c r="G77" s="369" t="str">
        <x:v>2360</x:v>
      </x:c>
      <x:c r="H77" s="368" t="str">
        <x:v>ILS</x:v>
      </x:c>
      <x:c r="I77" s="370" t="str">
        <x:v>2360</x:v>
      </x:c>
      <x:c r="J77" s="368" t="str">
        <x:v>מאושר</x:v>
      </x:c>
      <x:c r="K77" s="370" t="n">
        <x:f>K76+IF(I77="",0,IF(C77="הכנסה",I77,-I77))</x:f>
        <x:v>88789.65508474578</x:v>
      </x:c>
      <x:c r="L77" s="368" t="str">
        <x:v>נמסר על ידי המשתמש</x:v>
      </x:c>
    </x:row>
    <x:row r="78" ht="28" customHeight="1">
      <x:c r="A78" s="367" t="str">
        <x:v>46310</x:v>
      </x:c>
      <x:c r="B78" s="368" t="str">
        <x:v>אוקטובר</x:v>
      </x:c>
      <x:c r="C78" s="368" t="str">
        <x:v>הכנסה</x:v>
      </x:c>
      <x:c r="D78" s="368" t="str">
        <x:v>אלברט שמאילוב</x:v>
      </x:c>
      <x:c r="E78" s="368" t="str">
        <x:v>אחסון דף</x:v>
      </x:c>
      <x:c r="F78" s="368" t="str">
        <x:v>הוראת קבע</x:v>
      </x:c>
      <x:c r="G78" s="369" t="str">
        <x:v>94</x:v>
      </x:c>
      <x:c r="H78" s="368" t="str">
        <x:v>ILS</x:v>
      </x:c>
      <x:c r="I78" s="370" t="str">
        <x:v>94</x:v>
      </x:c>
      <x:c r="J78" s="377" t="str">
        <x:v>מאושר</x:v>
      </x:c>
      <x:c r="K78" s="370" t="n">
        <x:f>K77+IF(I78="",0,IF(C78="הכנסה",I78,-I78))</x:f>
        <x:v>88883.65508474578</x:v>
      </x:c>
      <x:c r="L78" s="368" t="str">
        <x:v>נמסר על ידי המשתמש</x:v>
      </x:c>
    </x:row>
    <x:row r="79" ht="28" customHeight="1">
      <x:c r="A79" s="367" t="str">
        <x:v>46310</x:v>
      </x:c>
      <x:c r="B79" s="368" t="str">
        <x:v>אוקטובר</x:v>
      </x:c>
      <x:c r="C79" s="368" t="str">
        <x:v>הכנסה</x:v>
      </x:c>
      <x:c r="D79" s="368" t="str">
        <x:v>מיי מומנט</x:v>
      </x:c>
      <x:c r="E79" s="368" t="str">
        <x:v>תשלום</x:v>
      </x:c>
      <x:c r="F79" s="368"/>
      <x:c r="G79" s="369" t="str">
        <x:v>558</x:v>
      </x:c>
      <x:c r="H79" s="368" t="str">
        <x:v>ILS</x:v>
      </x:c>
      <x:c r="I79" s="370" t="str">
        <x:v>558</x:v>
      </x:c>
      <x:c r="J79" s="377" t="str">
        <x:v>מאושר</x:v>
      </x:c>
      <x:c r="K79" s="370" t="n">
        <x:f>K78+IF(I79="",0,IF(C79="הכנסה",I79,-I79))</x:f>
        <x:v>89441.65508474578</x:v>
      </x:c>
      <x:c r="L79" s="368" t="str">
        <x:v>נמסר על ידי המשתמש</x:v>
      </x:c>
    </x:row>
    <x:row r="80" ht="28" customHeight="1">
      <x:c r="A80" s="372" t="str">
        <x:v>46310</x:v>
      </x:c>
      <x:c r="B80" s="373" t="str">
        <x:v>אוקטובר</x:v>
      </x:c>
      <x:c r="C80" s="373" t="str">
        <x:v>הוצאה</x:v>
      </x:c>
      <x:c r="D80" s="373" t="str">
        <x:v>מיסים נוספים</x:v>
      </x:c>
      <x:c r="E80" s="373" t="str">
        <x:v>מיסים נוספים – לא כולל מע״מ משוער</x:v>
      </x:c>
      <x:c r="F80" s="373" t="str">
        <x:v>העברה בנקאית</x:v>
      </x:c>
      <x:c r="G80" s="374"/>
      <x:c r="H80" s="373" t="str">
        <x:v>ILS</x:v>
      </x:c>
      <x:c r="I80" s="396"/>
      <x:c r="J80" s="383" t="str">
        <x:v>חסר סכום</x:v>
      </x:c>
      <x:c r="K80" s="375" t="n">
        <x:f>K79+IF(I80="",0,IF(C80="הכנסה",I80,-I80))</x:f>
        <x:v>89441.65508474578</x:v>
      </x:c>
      <x:c r="L80" s="373" t="str">
        <x:v>סכום עדיין חסר; המע״מ המשוער מחושב בנפרד ומופיע בשורה ייעודית</x:v>
      </x:c>
    </x:row>
    <x:row r="81" ht="28" customHeight="1">
      <x:c r="A81" s="372" t="str">
        <x:v>46310</x:v>
      </x:c>
      <x:c r="B81" s="373" t="str">
        <x:v>אוקטובר</x:v>
      </x:c>
      <x:c r="C81" s="373" t="str">
        <x:v>הוצאה</x:v>
      </x:c>
      <x:c r="D81" s="373" t="str">
        <x:v>מע״מ משוער</x:v>
      </x:c>
      <x:c r="E81" s="373" t="str">
        <x:v>מע״מ עבור פעילות ספטמבר 2026</x:v>
      </x:c>
      <x:c r="F81" s="373" t="str">
        <x:v>העברה בנקאית</x:v>
      </x:c>
      <x:c r="G81" s="374"/>
      <x:c r="H81" s="373" t="str">
        <x:v>ILS</x:v>
      </x:c>
      <x:c r="I81" s="375" t="n">
        <x:f>$X$3</x:f>
        <x:v>8223.522203389834</x:v>
      </x:c>
      <x:c r="J81" s="373" t="str">
        <x:v>אומדן</x:v>
      </x:c>
      <x:c r="K81" s="375" t="n">
        <x:f>K80+IF(I81="",0,IF(C81="הכנסה",I81,-I81))</x:f>
        <x:v>81218.13288135595</x:v>
      </x:c>
      <x:c r="L81" s="373" t="str">
        <x:v>אומדן תזרים לפי 18% פחות מס תשומות ידוע; בפועל יש לאמת מול הנהלת החשבונות</x:v>
      </x:c>
    </x:row>
    <x:row r="82" ht="28" customHeight="1">
      <x:c r="A82" s="367" t="str">
        <x:v>46315</x:v>
      </x:c>
      <x:c r="B82" s="368" t="str">
        <x:v>אוקטובר</x:v>
      </x:c>
      <x:c r="C82" s="368" t="str">
        <x:v>הכנסה</x:v>
      </x:c>
      <x:c r="D82" s="368" t="str">
        <x:v>איציק לוי</x:v>
      </x:c>
      <x:c r="E82" s="368" t="str">
        <x:v>מערכת מוסכים</x:v>
      </x:c>
      <x:c r="F82" s="368"/>
      <x:c r="G82" s="369" t="str">
        <x:v>399</x:v>
      </x:c>
      <x:c r="H82" s="368" t="str">
        <x:v>ILS</x:v>
      </x:c>
      <x:c r="I82" s="370" t="str">
        <x:v>399</x:v>
      </x:c>
      <x:c r="J82" s="368" t="str">
        <x:v>מאושר</x:v>
      </x:c>
      <x:c r="K82" s="370" t="n">
        <x:f>K81+IF(I82="",0,IF(C82="הכנסה",I82,-I82))</x:f>
        <x:v>81617.13288135595</x:v>
      </x:c>
      <x:c r="L82" s="368" t="str">
        <x:v>נמסר על ידי המשתמש</x:v>
      </x:c>
    </x:row>
    <x:row r="83" ht="28" customHeight="1">
      <x:c r="A83" s="367" t="str">
        <x:v>46316</x:v>
      </x:c>
      <x:c r="B83" s="368" t="str">
        <x:v>אוקטובר</x:v>
      </x:c>
      <x:c r="C83" s="368" t="str">
        <x:v>הכנסה</x:v>
      </x:c>
      <x:c r="D83" s="368" t="str">
        <x:v>Mascot</x:v>
      </x:c>
      <x:c r="E83" s="368" t="str">
        <x:v>אחסון אתר לפי הצעה 33484</x:v>
      </x:c>
      <x:c r="F83" s="368" t="str">
        <x:v>הוראת קבע</x:v>
      </x:c>
      <x:c r="G83" s="369" t="str">
        <x:v>49</x:v>
      </x:c>
      <x:c r="H83" s="368" t="str">
        <x:v>ILS</x:v>
      </x:c>
      <x:c r="I83" s="370" t="str">
        <x:v>49</x:v>
      </x:c>
      <x:c r="J83" s="368" t="str">
        <x:v>מאושר</x:v>
      </x:c>
      <x:c r="K83" s="370" t="n">
        <x:f>K82+IF(I83="",0,IF(C83="הכנסה",I83,-I83))</x:f>
        <x:v>81666.13288135595</x:v>
      </x:c>
      <x:c r="L83" s="368" t="str">
        <x:v>נמסר על ידי המשתמש</x:v>
      </x:c>
    </x:row>
    <x:row r="84" ht="28" customHeight="1">
      <x:c r="A84" s="367" t="str">
        <x:v>46320</x:v>
      </x:c>
      <x:c r="B84" s="368" t="str">
        <x:v>אוקטובר</x:v>
      </x:c>
      <x:c r="C84" s="368" t="str">
        <x:v>הכנסה</x:v>
      </x:c>
      <x:c r="D84" s="368" t="str">
        <x:v>אדר 26</x:v>
      </x:c>
      <x:c r="E84" s="368" t="str">
        <x:v>תשלום שלישי לפרויקט</x:v>
      </x:c>
      <x:c r="F84" s="368"/>
      <x:c r="G84" s="369" t="str">
        <x:v>29500</x:v>
      </x:c>
      <x:c r="H84" s="368" t="str">
        <x:v>ILS</x:v>
      </x:c>
      <x:c r="I84" s="370" t="str">
        <x:v>29500</x:v>
      </x:c>
      <x:c r="J84" s="368" t="str">
        <x:v>מאושר</x:v>
      </x:c>
      <x:c r="K84" s="370" t="n">
        <x:f>K83+IF(I84="",0,IF(C84="הכנסה",I84,-I84))</x:f>
        <x:v>111166.13288135595</x:v>
      </x:c>
      <x:c r="L84" s="368" t="str">
        <x:v>נמסר על ידי המשתמש</x:v>
      </x:c>
    </x:row>
  </x:sheetData>
  <x:mergeCells>
    <x:mergeCell ref="A1:L1"/>
    <x:mergeCell ref="K2:L2"/>
    <x:mergeCell ref="K3:L3"/>
    <x:mergeCell ref="N6:R6"/>
    <x:mergeCell ref="T13:Y13"/>
    <x:mergeCell ref="T23:Y23"/>
    <x:mergeCell ref="U25:Y25"/>
    <x:mergeCell ref="U26:Y26"/>
  </x:mergeCells>
  <x:conditionalFormatting sqref="I7:I51">
    <x:cfRule type="expression" dxfId="0" priority="1">
      <x:formula>J7="חסר סכום"</x:formula>
    </x:cfRule>
  </x:conditionalFormatting>
  <x:conditionalFormatting sqref="J7:J51">
    <x:cfRule type="expression" dxfId="1" priority="2">
      <x:formula>J7="חסר סכום"</x:formula>
    </x:cfRule>
  </x:conditionalFormatting>
  <x:conditionalFormatting sqref="K7:K51">
    <x:cfRule type="cellIs" dxfId="2" priority="3" operator="lessThan">
      <x:formula>0</x:formula>
    </x:cfRule>
  </x:conditionalFormatting>
  <x:dataValidations count="9">
    <x:dataValidation type="list" sqref="C7:C151">
      <x:formula1>"הכנסה,הוצאה"</x:formula1>
    </x:dataValidation>
    <x:dataValidation type="list" sqref="F7:F151">
      <x:formula1>",אשראי,העברה בנקאית,הוראת קבע,חשבון עסקה"</x:formula1>
    </x:dataValidation>
    <x:dataValidation type="list" sqref="H7:H151">
      <x:formula1>"ILS,USD,EUR,AED"</x:formula1>
    </x:dataValidation>
    <x:dataValidation type="list" sqref="J7:J151">
      <x:formula1>"מאושר,אומדן מט״ח,חסר סכום"</x:formula1>
    </x:dataValidation>
    <x:dataValidation type="list" sqref="C7:C153">
      <x:formula1>"הכנסה,הוצאה"</x:formula1>
    </x:dataValidation>
    <x:dataValidation type="list" sqref="F7:F153">
      <x:formula1>",אשראי,העברה בנקאית,הוראת קבע,חשבון עסקה"</x:formula1>
    </x:dataValidation>
    <x:dataValidation type="list" sqref="H7:H153">
      <x:formula1>"ILS,USD,EUR,AED"</x:formula1>
    </x:dataValidation>
    <x:dataValidation type="list" sqref="J7:J153">
      <x:formula1>"מאושר,אומדן מט״ח,חסר סכום"</x:formula1>
    </x:dataValidation>
    <x:dataValidation type="list" sqref="F7:F175">
      <x:formula1>",אשראי,העברה בנקאית,הוראת קבע בנקאית,הוראת קבע,חשבון עסקה"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eed3552d8b4dbc"/>
  </x:tableParts>
</x:worksheet>
</file>